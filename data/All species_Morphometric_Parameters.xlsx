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Working_Parties\iotc-wpb-data\data\"/>
    </mc:Choice>
  </mc:AlternateContent>
  <xr:revisionPtr revIDLastSave="0" documentId="13_ncr:1_{8BC438FD-F5B5-47FD-BD0D-042B37545CA6}" xr6:coauthVersionLast="47" xr6:coauthVersionMax="47" xr10:uidLastSave="{00000000-0000-0000-0000-000000000000}"/>
  <bookViews>
    <workbookView xWindow="-120" yWindow="-120" windowWidth="29040" windowHeight="15720" xr2:uid="{3510435F-5634-45ED-8683-AC510A408C5F}"/>
  </bookViews>
  <sheets>
    <sheet name="Relationships" sheetId="1" r:id="rId1"/>
    <sheet name="Factors" sheetId="2" r:id="rId2"/>
  </sheets>
  <definedNames>
    <definedName name="_xlnm._FilterDatabase" localSheetId="0" hidden="1">Relationships!$A$1:$W$105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6" i="1" l="1"/>
  <c r="P57" i="1"/>
  <c r="P55" i="1"/>
  <c r="P54" i="1"/>
  <c r="R23" i="1"/>
  <c r="Q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piere</author>
  </authors>
  <commentList>
    <comment ref="P54" authorId="0" shapeId="0" xr:uid="{E84F9169-78EB-4058-82EC-91521F76F815}">
      <text>
        <r>
          <rPr>
            <b/>
            <sz val="9"/>
            <color indexed="81"/>
            <rFont val="Tahoma"/>
            <charset val="1"/>
          </rPr>
          <t>lucia piere:</t>
        </r>
        <r>
          <rPr>
            <sz val="9"/>
            <color indexed="81"/>
            <rFont val="Tahoma"/>
            <charset val="1"/>
          </rPr>
          <t xml:space="preserve">
See pages 70-71 of IPTP -89-SRL-SP? Let me know if correct</t>
        </r>
      </text>
    </comment>
    <comment ref="P56" authorId="0" shapeId="0" xr:uid="{857C0BC5-C941-4DA4-8630-D8BC85EC9DC2}">
      <text>
        <r>
          <rPr>
            <b/>
            <sz val="9"/>
            <color indexed="81"/>
            <rFont val="Tahoma"/>
            <charset val="1"/>
          </rPr>
          <t>lucia piere:</t>
        </r>
        <r>
          <rPr>
            <sz val="9"/>
            <color indexed="81"/>
            <rFont val="Tahoma"/>
            <charset val="1"/>
          </rPr>
          <t xml:space="preserve">
See page 74</t>
        </r>
      </text>
    </comment>
    <comment ref="P57" authorId="0" shapeId="0" xr:uid="{A193A5AE-98F3-4CA4-8964-8C9757FE9C74}">
      <text>
        <r>
          <rPr>
            <b/>
            <sz val="9"/>
            <color indexed="81"/>
            <rFont val="Tahoma"/>
            <charset val="1"/>
          </rPr>
          <t>lucia piere:</t>
        </r>
        <r>
          <rPr>
            <sz val="9"/>
            <color indexed="81"/>
            <rFont val="Tahoma"/>
            <charset val="1"/>
          </rPr>
          <t xml:space="preserve">
Page 78</t>
        </r>
      </text>
    </comment>
  </commentList>
</comments>
</file>

<file path=xl/sharedStrings.xml><?xml version="1.0" encoding="utf-8"?>
<sst xmlns="http://schemas.openxmlformats.org/spreadsheetml/2006/main" count="1381" uniqueCount="283">
  <si>
    <t>Gears</t>
  </si>
  <si>
    <t>N</t>
  </si>
  <si>
    <t>a</t>
  </si>
  <si>
    <t>b</t>
  </si>
  <si>
    <t>Comment</t>
  </si>
  <si>
    <t>FL</t>
  </si>
  <si>
    <t>RD</t>
  </si>
  <si>
    <t>Power</t>
  </si>
  <si>
    <t>RD = a*FL^b</t>
  </si>
  <si>
    <t>Linear</t>
  </si>
  <si>
    <t>GN;PL;PS</t>
  </si>
  <si>
    <t>YFT</t>
  </si>
  <si>
    <t>LL;OT</t>
  </si>
  <si>
    <t>GG</t>
  </si>
  <si>
    <t>GG = a*FL^b</t>
  </si>
  <si>
    <t>BET</t>
  </si>
  <si>
    <t>To re-assess</t>
  </si>
  <si>
    <t>SKJ</t>
  </si>
  <si>
    <t>ALL</t>
  </si>
  <si>
    <t>ocean</t>
  </si>
  <si>
    <t>species_code</t>
  </si>
  <si>
    <t>species</t>
  </si>
  <si>
    <t>sex</t>
  </si>
  <si>
    <t>source_morpho</t>
  </si>
  <si>
    <t>target_morpho</t>
  </si>
  <si>
    <t>equation_type</t>
  </si>
  <si>
    <t>equation</t>
  </si>
  <si>
    <t>MinSourceMorpho</t>
  </si>
  <si>
    <t>MaxSourceMorpho</t>
  </si>
  <si>
    <t>MinTargetMorpho</t>
  </si>
  <si>
    <t>MaxTargetMorpho</t>
  </si>
  <si>
    <t>ALB</t>
  </si>
  <si>
    <t>Albacore</t>
  </si>
  <si>
    <t>Penney1994</t>
  </si>
  <si>
    <t>Penney (1994)</t>
  </si>
  <si>
    <t>Min-max values derived from Figure 3</t>
  </si>
  <si>
    <t>1992-1993</t>
  </si>
  <si>
    <t>LL;PL</t>
  </si>
  <si>
    <t>Huang1991</t>
  </si>
  <si>
    <t>Huang et al. (1991)</t>
  </si>
  <si>
    <t>Min-max values derived from Figure 6</t>
  </si>
  <si>
    <t>1987-1990</t>
  </si>
  <si>
    <t>LL;GN</t>
  </si>
  <si>
    <t>South central Indian Ocean</t>
  </si>
  <si>
    <t>Hsu1999</t>
  </si>
  <si>
    <t>Hsu (1999)</t>
  </si>
  <si>
    <t>Min-Max weights derived from Figure 2</t>
  </si>
  <si>
    <t>1990-1991</t>
  </si>
  <si>
    <t>GN</t>
  </si>
  <si>
    <t>Eastern Indian Ocean</t>
  </si>
  <si>
    <t>Setyadji2012</t>
  </si>
  <si>
    <t>Setyadji et al. (2012)</t>
  </si>
  <si>
    <t>LL</t>
  </si>
  <si>
    <t>Western Indian Ocean</t>
  </si>
  <si>
    <t>Dhurmeea2016</t>
  </si>
  <si>
    <t>Dhurmeea et al. (2016)</t>
  </si>
  <si>
    <t>2013-2015</t>
  </si>
  <si>
    <t>LL;PL;PS</t>
  </si>
  <si>
    <t>PFL</t>
  </si>
  <si>
    <t>PFL=a*FL+b</t>
  </si>
  <si>
    <t>LD1</t>
  </si>
  <si>
    <t>LD1 = a*FL+b</t>
  </si>
  <si>
    <t>SBF</t>
  </si>
  <si>
    <t>Southern bluefin tuna</t>
  </si>
  <si>
    <t>HG</t>
  </si>
  <si>
    <t>HG = a*FL^b</t>
  </si>
  <si>
    <t>Shiao2008</t>
  </si>
  <si>
    <t>Shiao et al. (2008)</t>
  </si>
  <si>
    <t>Conversion factor to RD = 1.15</t>
  </si>
  <si>
    <t>BLM</t>
  </si>
  <si>
    <t>Black marlin</t>
  </si>
  <si>
    <t>EFL</t>
  </si>
  <si>
    <t>linear</t>
  </si>
  <si>
    <t>Ward</t>
  </si>
  <si>
    <t>Current reference relationship</t>
  </si>
  <si>
    <t>power</t>
  </si>
  <si>
    <t>Uchiyama2003</t>
  </si>
  <si>
    <t>Uchiyama and Kazama (2003)</t>
  </si>
  <si>
    <t>Setyadji2016</t>
  </si>
  <si>
    <t>Setyadji et al. 2016</t>
  </si>
  <si>
    <t>Setyadji et al. (2016)</t>
  </si>
  <si>
    <t>HG = HDD = ; Pectoral fork length range inferred from scatterplot</t>
  </si>
  <si>
    <t>males</t>
  </si>
  <si>
    <t>Sun2015</t>
  </si>
  <si>
    <t>Sun et al. 2015</t>
  </si>
  <si>
    <t>Eye fork length range estimated from fork length range</t>
  </si>
  <si>
    <t>females</t>
  </si>
  <si>
    <t>RD = a x FL^b</t>
  </si>
  <si>
    <t>Speare2003</t>
  </si>
  <si>
    <t>Speare (2003)</t>
  </si>
  <si>
    <t>SFA</t>
  </si>
  <si>
    <t>Indo-Pacific sailfish</t>
  </si>
  <si>
    <t>Kar2015</t>
  </si>
  <si>
    <t>Kar et al. (2015)</t>
  </si>
  <si>
    <t>Hoolihan2006</t>
  </si>
  <si>
    <t>Hoolihan (2006)</t>
  </si>
  <si>
    <t>TL</t>
  </si>
  <si>
    <t>TG</t>
  </si>
  <si>
    <t>HL</t>
  </si>
  <si>
    <t>HL = head length</t>
  </si>
  <si>
    <t>EFL = eye orbit fork length</t>
  </si>
  <si>
    <t>DFL</t>
  </si>
  <si>
    <t>DFL = dorsal fork length</t>
  </si>
  <si>
    <t>PFL = pectoral fork length</t>
  </si>
  <si>
    <t>PDL</t>
  </si>
  <si>
    <t>PDL = pectoral dorsal length</t>
  </si>
  <si>
    <t>PAL</t>
  </si>
  <si>
    <t>PAL = pectoral-anus length</t>
  </si>
  <si>
    <t>SWO</t>
  </si>
  <si>
    <t>Swordfish</t>
  </si>
  <si>
    <t>BUM</t>
  </si>
  <si>
    <t>Blue marlin</t>
  </si>
  <si>
    <t>Prager1995</t>
  </si>
  <si>
    <t>Prager et al. (1995)</t>
  </si>
  <si>
    <t>PFL = PCL for IOTC</t>
  </si>
  <si>
    <t>MLS</t>
  </si>
  <si>
    <t>Striped marlin</t>
  </si>
  <si>
    <t>Sun2011</t>
  </si>
  <si>
    <t>Sun et al. 2011</t>
  </si>
  <si>
    <t>Values inferred from fig. 2</t>
  </si>
  <si>
    <t>RD = a*EFL^b</t>
  </si>
  <si>
    <t>Values inferred from fig. 1</t>
  </si>
  <si>
    <t>Shimose2013</t>
  </si>
  <si>
    <t>Shimose et al. 2013</t>
  </si>
  <si>
    <t>Values inferred from fig. 4</t>
  </si>
  <si>
    <t>Kopf2011</t>
  </si>
  <si>
    <t>Kopf et al. 2011</t>
  </si>
  <si>
    <t>Area</t>
  </si>
  <si>
    <t>Period</t>
  </si>
  <si>
    <t>LOT</t>
  </si>
  <si>
    <t>Longtail tuna</t>
  </si>
  <si>
    <t>Persian Gulf &amp; Oman Sea</t>
  </si>
  <si>
    <t>2006-2007</t>
  </si>
  <si>
    <t>GN; TL</t>
  </si>
  <si>
    <t>pooled</t>
  </si>
  <si>
    <t>Kaymaram2011</t>
  </si>
  <si>
    <t>Kaymaram et al. (2011)</t>
  </si>
  <si>
    <t>Fish weighted to the nearest 50 g</t>
  </si>
  <si>
    <t>KAW</t>
  </si>
  <si>
    <t>Kawakawa</t>
  </si>
  <si>
    <t>Sri Lanka</t>
  </si>
  <si>
    <t>1986-1988</t>
  </si>
  <si>
    <t>IPTP1989</t>
  </si>
  <si>
    <t>IPTP (1989)</t>
  </si>
  <si>
    <t>"Data sources from the coefficients were mostly obtained from NARA (Sri Lanka) and neighbouring countries"</t>
  </si>
  <si>
    <t>FRI</t>
  </si>
  <si>
    <t>Frigate tuna</t>
  </si>
  <si>
    <t>BLT</t>
  </si>
  <si>
    <t>Bullet tuna</t>
  </si>
  <si>
    <t>COM</t>
  </si>
  <si>
    <t>Narrow-barred Spanish mackerel</t>
  </si>
  <si>
    <t>GUT</t>
  </si>
  <si>
    <t>Indo-Pacific king mackerel</t>
  </si>
  <si>
    <t>West Bengal, India</t>
  </si>
  <si>
    <t>2010-2011</t>
  </si>
  <si>
    <t>GN; TW</t>
  </si>
  <si>
    <t>RD = a x TL^b</t>
  </si>
  <si>
    <t>Dutta2012</t>
  </si>
  <si>
    <t>Dutta et al. (2012)</t>
  </si>
  <si>
    <t>a = 0.00784 in FishBase</t>
  </si>
  <si>
    <t>BSH</t>
  </si>
  <si>
    <t>Blue shark</t>
  </si>
  <si>
    <t>PCL</t>
  </si>
  <si>
    <t>PCL=a+b*FL</t>
  </si>
  <si>
    <t>NMFS2001 cited in Skomal2003</t>
  </si>
  <si>
    <t>Skomal et al. 2003</t>
  </si>
  <si>
    <t>TL=a+b*FL</t>
  </si>
  <si>
    <t>Anderson2011</t>
  </si>
  <si>
    <t>Anderson et al. 2011</t>
  </si>
  <si>
    <t>RD=a*FL^b</t>
  </si>
  <si>
    <t>Romanov2009</t>
  </si>
  <si>
    <t>Romanov and Romanova 2009</t>
  </si>
  <si>
    <t>Min/max weights guessed</t>
  </si>
  <si>
    <t>Coelho2017</t>
  </si>
  <si>
    <t>Coelho et al. 2017</t>
  </si>
  <si>
    <t>Ariz2007</t>
  </si>
  <si>
    <t>Ariz et al. 2007</t>
  </si>
  <si>
    <t>HG=a*FL^b</t>
  </si>
  <si>
    <t>GarciaCortes2002</t>
  </si>
  <si>
    <t>Garcia-Cortés and Mejuto 2002</t>
  </si>
  <si>
    <t>Espino2010</t>
  </si>
  <si>
    <t>Espino et al. 2010</t>
  </si>
  <si>
    <t>FAL</t>
  </si>
  <si>
    <t>Silky shark</t>
  </si>
  <si>
    <t>Filmalter2012</t>
  </si>
  <si>
    <t>Filmalter et al. 2012</t>
  </si>
  <si>
    <t>PCL = pre-caudal length missing from code list</t>
  </si>
  <si>
    <t>n = 517 in the data set</t>
  </si>
  <si>
    <t>n = 87 in the data set</t>
  </si>
  <si>
    <t>OCS</t>
  </si>
  <si>
    <t>Oceanic whitetip shark</t>
  </si>
  <si>
    <t>SMA</t>
  </si>
  <si>
    <t>Shortfin mako</t>
  </si>
  <si>
    <t>Groneveld2014</t>
  </si>
  <si>
    <t>Groneveld et al. 2014</t>
  </si>
  <si>
    <t>lack digits for a parameter</t>
  </si>
  <si>
    <t>BTH</t>
  </si>
  <si>
    <t>Bigeye tresher</t>
  </si>
  <si>
    <t>Romanov2012</t>
  </si>
  <si>
    <t>Romanov and Romanova 2012</t>
  </si>
  <si>
    <t>TIG</t>
  </si>
  <si>
    <t>Tiger shark</t>
  </si>
  <si>
    <t>SPK</t>
  </si>
  <si>
    <t>Great hammerhead</t>
  </si>
  <si>
    <t>SPL</t>
  </si>
  <si>
    <t>Scalloped hammerhead</t>
  </si>
  <si>
    <t>POR</t>
  </si>
  <si>
    <t>Porbeagle</t>
  </si>
  <si>
    <t>Clarke2011</t>
  </si>
  <si>
    <t>Clarke et al. 2011</t>
  </si>
  <si>
    <t>Bigeye tuna</t>
  </si>
  <si>
    <t>Skipjack tuna</t>
  </si>
  <si>
    <t>Yellowfin tuna</t>
  </si>
  <si>
    <t>Tropical</t>
  </si>
  <si>
    <t>Temperate</t>
  </si>
  <si>
    <t>Billfish</t>
  </si>
  <si>
    <t>Neritics</t>
  </si>
  <si>
    <t>Southeast Atlantic Ocean</t>
  </si>
  <si>
    <t>Indian Ocean*</t>
  </si>
  <si>
    <t>RD = a*GG</t>
  </si>
  <si>
    <t>Chassot2016</t>
  </si>
  <si>
    <t>Geehan2013</t>
  </si>
  <si>
    <t>Chassot et al. (2016)</t>
  </si>
  <si>
    <t>Geehan and Pierre (2013)</t>
  </si>
  <si>
    <t>reference</t>
  </si>
  <si>
    <t>source</t>
  </si>
  <si>
    <t>Indian</t>
  </si>
  <si>
    <t>Pacific</t>
  </si>
  <si>
    <t>Western-Central Pacific</t>
  </si>
  <si>
    <t>Atlantic</t>
  </si>
  <si>
    <t>Sharks</t>
  </si>
  <si>
    <t>LJFL</t>
  </si>
  <si>
    <t>Ward (pers. Com)*</t>
  </si>
  <si>
    <t>Uchiyama and Kazama (2003)*</t>
  </si>
  <si>
    <t>Current reference relationship; fork length range inferred from scatterplot; RD does not include bill weight</t>
  </si>
  <si>
    <t>Fork length range inferred from scatterplot; RD does not include bill weight</t>
  </si>
  <si>
    <t>Fork length range inferred from scatterplot</t>
  </si>
  <si>
    <t>RD = a*LJFL^b</t>
  </si>
  <si>
    <t>TL = a*LJFL^b</t>
  </si>
  <si>
    <t>TG = a*LJFL^b</t>
  </si>
  <si>
    <t>HL = a*LJFL^b</t>
  </si>
  <si>
    <t>EFL = a*LJFL^b</t>
  </si>
  <si>
    <t>DFL = a*LJFL^b</t>
  </si>
  <si>
    <t>PFL = a*LJFL^b</t>
  </si>
  <si>
    <t>PDL = a*LJFL^b</t>
  </si>
  <si>
    <t>PAL = a*LJFL^b</t>
  </si>
  <si>
    <t>FL = a*EFL+b</t>
  </si>
  <si>
    <t>EFL = a*PFL+b</t>
  </si>
  <si>
    <t>sort_code</t>
  </si>
  <si>
    <t>species_group</t>
  </si>
  <si>
    <t>IOTC2005</t>
  </si>
  <si>
    <t>IOTC (2005)</t>
  </si>
  <si>
    <t>Indonesia</t>
  </si>
  <si>
    <t>GGT</t>
  </si>
  <si>
    <t>value</t>
  </si>
  <si>
    <t>TAL</t>
  </si>
  <si>
    <t>HDD</t>
  </si>
  <si>
    <t>Samples in Indonesian in the framework of the IOTC/OFCF .sampling program</t>
  </si>
  <si>
    <t>LJFL = a+EFL*b</t>
  </si>
  <si>
    <t>LJFL = a*EFL+b</t>
  </si>
  <si>
    <t>LJFL = a*PFL+b</t>
  </si>
  <si>
    <t>Australia</t>
  </si>
  <si>
    <t>HG = DW</t>
  </si>
  <si>
    <t>GUT = a*LJFL^b</t>
  </si>
  <si>
    <t>GUT = HDD = Gilled and gutted; Pectoral fork length range inferred from scatterplot</t>
  </si>
  <si>
    <t>GUT = a*EFL^b</t>
  </si>
  <si>
    <t>GUT = a*PFL^b</t>
  </si>
  <si>
    <t>LJFL = a*TL+b</t>
  </si>
  <si>
    <t>LJFL = a*PAL+b</t>
  </si>
  <si>
    <t>EOFL = EFL for IOTC</t>
  </si>
  <si>
    <t>Inversion of coefficients to get LJFL&gt;EFL</t>
  </si>
  <si>
    <t>Poisson2001</t>
  </si>
  <si>
    <t>CKL</t>
  </si>
  <si>
    <t>LJFL = a*CKL+b</t>
  </si>
  <si>
    <t>Mejuto1998</t>
  </si>
  <si>
    <t>Poisson and Taquet (2001)</t>
  </si>
  <si>
    <t>Mejuto et al. (1998)*</t>
  </si>
  <si>
    <t>Poisson and Taquet (2001)*</t>
  </si>
  <si>
    <t>Ward (pers. com)</t>
  </si>
  <si>
    <t>Honolulu fish auctions</t>
  </si>
  <si>
    <t>Chiang2004</t>
  </si>
  <si>
    <t>Chiang et al. (2004)*</t>
  </si>
  <si>
    <t>Data not pooled in original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</si>
</sst>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00000000"/>
    <numFmt numFmtId="166" formatCode="0.00000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1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8E74-F3BC-40C3-8E32-99D7B08DE80F}">
  <sheetPr codeName="Sheet1" filterMode="1"/>
  <dimension ref="A1:W105"/>
  <sheetViews>
    <sheetView tabSelected="1" topLeftCell="N1" zoomScale="85" zoomScaleNormal="85" workbookViewId="0">
      <pane ySplit="1" topLeftCell="A40" activePane="bottomLeft" state="frozen"/>
      <selection pane="bottomLeft" activeCell="X1" sqref="X1"/>
    </sheetView>
  </sheetViews>
  <sheetFormatPr defaultColWidth="8.85546875" defaultRowHeight="15" x14ac:dyDescent="0.25"/>
  <cols>
    <col min="1" max="1" width="26.7109375" bestFit="1" customWidth="1"/>
    <col min="2" max="2" width="15.42578125" bestFit="1" customWidth="1"/>
    <col min="3" max="3" width="20" bestFit="1" customWidth="1"/>
    <col min="4" max="4" width="19.140625" bestFit="1" customWidth="1"/>
    <col min="5" max="5" width="32.140625" bestFit="1" customWidth="1"/>
    <col min="6" max="6" width="24.5703125" bestFit="1" customWidth="1"/>
    <col min="7" max="7" width="12.42578125" bestFit="1" customWidth="1"/>
    <col min="8" max="8" width="11.85546875" bestFit="1" customWidth="1"/>
    <col min="9" max="9" width="9.5703125" bestFit="1" customWidth="1"/>
    <col min="10" max="10" width="20.85546875" bestFit="1" customWidth="1"/>
    <col min="11" max="11" width="20.140625" bestFit="1" customWidth="1"/>
    <col min="12" max="12" width="20" bestFit="1" customWidth="1"/>
    <col min="13" max="13" width="15" bestFit="1" customWidth="1"/>
    <col min="14" max="14" width="16.42578125" bestFit="1" customWidth="1"/>
    <col min="15" max="15" width="12.28515625" bestFit="1" customWidth="1"/>
    <col min="16" max="16" width="7.85546875" bestFit="1" customWidth="1"/>
    <col min="17" max="17" width="22.5703125" bestFit="1" customWidth="1"/>
    <col min="18" max="18" width="22.85546875" bestFit="1" customWidth="1"/>
    <col min="19" max="19" width="22.140625" bestFit="1" customWidth="1"/>
    <col min="20" max="20" width="22.42578125" bestFit="1" customWidth="1"/>
    <col min="21" max="22" width="29.5703125" bestFit="1" customWidth="1"/>
    <col min="23" max="23" width="104.5703125" style="8" bestFit="1" customWidth="1"/>
    <col min="24" max="24" width="10.5703125" bestFit="1" customWidth="1"/>
    <col min="25" max="25" width="7.7109375" bestFit="1" customWidth="1"/>
  </cols>
  <sheetData>
    <row r="1" spans="1:23" x14ac:dyDescent="0.25">
      <c r="A1" s="2" t="s">
        <v>19</v>
      </c>
      <c r="B1" s="2" t="s">
        <v>248</v>
      </c>
      <c r="C1" s="2" t="s">
        <v>249</v>
      </c>
      <c r="D1" s="2" t="s">
        <v>20</v>
      </c>
      <c r="E1" s="2" t="s">
        <v>21</v>
      </c>
      <c r="F1" s="2" t="s">
        <v>127</v>
      </c>
      <c r="G1" s="2" t="s">
        <v>128</v>
      </c>
      <c r="H1" s="2" t="s">
        <v>0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</v>
      </c>
      <c r="O1" s="2" t="s">
        <v>3</v>
      </c>
      <c r="P1" s="2" t="s">
        <v>1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225</v>
      </c>
      <c r="V1" s="10" t="s">
        <v>224</v>
      </c>
      <c r="W1" s="10" t="s">
        <v>4</v>
      </c>
    </row>
    <row r="2" spans="1:23" hidden="1" x14ac:dyDescent="0.25">
      <c r="A2" t="s">
        <v>226</v>
      </c>
      <c r="B2">
        <v>3</v>
      </c>
      <c r="C2" t="s">
        <v>213</v>
      </c>
      <c r="D2" t="s">
        <v>15</v>
      </c>
      <c r="E2" t="s">
        <v>210</v>
      </c>
      <c r="H2" t="s">
        <v>10</v>
      </c>
      <c r="J2" t="s">
        <v>5</v>
      </c>
      <c r="K2" t="s">
        <v>6</v>
      </c>
      <c r="L2" t="s">
        <v>7</v>
      </c>
      <c r="M2" t="s">
        <v>8</v>
      </c>
      <c r="N2" s="6">
        <v>2.2169999999999999E-5</v>
      </c>
      <c r="O2">
        <v>3.0121099999999998</v>
      </c>
      <c r="P2">
        <v>2156</v>
      </c>
      <c r="Q2">
        <v>29.5</v>
      </c>
      <c r="R2">
        <v>174</v>
      </c>
      <c r="U2" t="s">
        <v>220</v>
      </c>
      <c r="V2" t="s">
        <v>222</v>
      </c>
    </row>
    <row r="3" spans="1:23" hidden="1" x14ac:dyDescent="0.25">
      <c r="A3" t="s">
        <v>226</v>
      </c>
      <c r="B3">
        <v>3</v>
      </c>
      <c r="C3" t="s">
        <v>213</v>
      </c>
      <c r="D3" t="s">
        <v>15</v>
      </c>
      <c r="E3" t="s">
        <v>210</v>
      </c>
      <c r="H3" t="s">
        <v>12</v>
      </c>
      <c r="J3" t="s">
        <v>5</v>
      </c>
      <c r="K3" t="s">
        <v>13</v>
      </c>
      <c r="L3" t="s">
        <v>7</v>
      </c>
      <c r="M3" t="s">
        <v>14</v>
      </c>
      <c r="N3" s="6">
        <v>1.5920700000000002E-5</v>
      </c>
      <c r="O3">
        <v>3.0415414023</v>
      </c>
      <c r="P3">
        <v>12047</v>
      </c>
      <c r="Q3">
        <v>70</v>
      </c>
      <c r="R3">
        <v>187</v>
      </c>
      <c r="U3" t="s">
        <v>221</v>
      </c>
      <c r="V3" t="s">
        <v>223</v>
      </c>
    </row>
    <row r="4" spans="1:23" hidden="1" x14ac:dyDescent="0.25">
      <c r="A4" t="s">
        <v>226</v>
      </c>
      <c r="B4">
        <v>3</v>
      </c>
      <c r="C4" t="s">
        <v>213</v>
      </c>
      <c r="D4" t="s">
        <v>15</v>
      </c>
      <c r="E4" t="s">
        <v>210</v>
      </c>
      <c r="H4" t="s">
        <v>12</v>
      </c>
      <c r="J4" t="s">
        <v>13</v>
      </c>
      <c r="K4" t="s">
        <v>6</v>
      </c>
      <c r="L4" t="s">
        <v>9</v>
      </c>
      <c r="M4" t="s">
        <v>219</v>
      </c>
      <c r="N4">
        <v>1.1299999999999999</v>
      </c>
      <c r="P4">
        <v>12047</v>
      </c>
      <c r="Q4">
        <v>70</v>
      </c>
      <c r="R4">
        <v>187</v>
      </c>
      <c r="U4" t="s">
        <v>221</v>
      </c>
      <c r="V4" t="s">
        <v>223</v>
      </c>
    </row>
    <row r="5" spans="1:23" hidden="1" x14ac:dyDescent="0.25">
      <c r="A5" t="s">
        <v>226</v>
      </c>
      <c r="B5">
        <v>2</v>
      </c>
      <c r="C5" t="s">
        <v>213</v>
      </c>
      <c r="D5" t="s">
        <v>17</v>
      </c>
      <c r="E5" t="s">
        <v>211</v>
      </c>
      <c r="H5" t="s">
        <v>18</v>
      </c>
      <c r="J5" t="s">
        <v>5</v>
      </c>
      <c r="K5" t="s">
        <v>6</v>
      </c>
      <c r="L5" t="s">
        <v>7</v>
      </c>
      <c r="M5" t="s">
        <v>8</v>
      </c>
      <c r="N5">
        <v>4.9699999999999998E-6</v>
      </c>
      <c r="O5">
        <v>3.3929200000000002</v>
      </c>
      <c r="P5">
        <v>1762</v>
      </c>
      <c r="Q5">
        <v>30</v>
      </c>
      <c r="R5">
        <v>73</v>
      </c>
      <c r="U5" t="s">
        <v>220</v>
      </c>
      <c r="V5" t="s">
        <v>222</v>
      </c>
    </row>
    <row r="6" spans="1:23" hidden="1" x14ac:dyDescent="0.25">
      <c r="A6" t="s">
        <v>226</v>
      </c>
      <c r="B6">
        <v>1</v>
      </c>
      <c r="C6" t="s">
        <v>213</v>
      </c>
      <c r="D6" t="s">
        <v>11</v>
      </c>
      <c r="E6" t="s">
        <v>212</v>
      </c>
      <c r="H6" t="s">
        <v>10</v>
      </c>
      <c r="J6" t="s">
        <v>5</v>
      </c>
      <c r="K6" t="s">
        <v>6</v>
      </c>
      <c r="L6" t="s">
        <v>7</v>
      </c>
      <c r="M6" t="s">
        <v>8</v>
      </c>
      <c r="N6" s="6">
        <v>2.5490000000000002E-5</v>
      </c>
      <c r="O6">
        <v>2.9666999999999999</v>
      </c>
      <c r="P6">
        <v>25386</v>
      </c>
      <c r="Q6">
        <v>29</v>
      </c>
      <c r="R6">
        <v>166</v>
      </c>
      <c r="U6" t="s">
        <v>220</v>
      </c>
      <c r="V6" t="s">
        <v>222</v>
      </c>
    </row>
    <row r="7" spans="1:23" hidden="1" x14ac:dyDescent="0.25">
      <c r="A7" t="s">
        <v>226</v>
      </c>
      <c r="B7">
        <v>1</v>
      </c>
      <c r="C7" t="s">
        <v>213</v>
      </c>
      <c r="D7" t="s">
        <v>11</v>
      </c>
      <c r="E7" t="s">
        <v>212</v>
      </c>
      <c r="H7" t="s">
        <v>12</v>
      </c>
      <c r="J7" t="s">
        <v>5</v>
      </c>
      <c r="K7" t="s">
        <v>13</v>
      </c>
      <c r="L7" t="s">
        <v>7</v>
      </c>
      <c r="M7" t="s">
        <v>14</v>
      </c>
      <c r="N7" s="6">
        <v>9.4006999999999996E-6</v>
      </c>
      <c r="O7">
        <v>3.126843987</v>
      </c>
      <c r="P7">
        <v>15133</v>
      </c>
      <c r="Q7">
        <v>72</v>
      </c>
      <c r="R7">
        <v>177</v>
      </c>
      <c r="U7" t="s">
        <v>221</v>
      </c>
      <c r="V7" t="s">
        <v>223</v>
      </c>
      <c r="W7" s="8" t="s">
        <v>16</v>
      </c>
    </row>
    <row r="8" spans="1:23" hidden="1" x14ac:dyDescent="0.25">
      <c r="A8" t="s">
        <v>226</v>
      </c>
      <c r="B8">
        <v>1</v>
      </c>
      <c r="C8" t="s">
        <v>213</v>
      </c>
      <c r="D8" t="s">
        <v>11</v>
      </c>
      <c r="E8" t="s">
        <v>212</v>
      </c>
      <c r="H8" t="s">
        <v>12</v>
      </c>
      <c r="J8" t="s">
        <v>13</v>
      </c>
      <c r="K8" t="s">
        <v>6</v>
      </c>
      <c r="L8" t="s">
        <v>9</v>
      </c>
      <c r="M8" t="s">
        <v>219</v>
      </c>
      <c r="N8">
        <v>1.1299999999999999</v>
      </c>
      <c r="P8">
        <v>15133</v>
      </c>
      <c r="Q8">
        <v>72</v>
      </c>
      <c r="R8">
        <v>177</v>
      </c>
      <c r="U8" t="s">
        <v>221</v>
      </c>
      <c r="V8" t="s">
        <v>223</v>
      </c>
    </row>
    <row r="9" spans="1:23" hidden="1" x14ac:dyDescent="0.25">
      <c r="A9" t="s">
        <v>217</v>
      </c>
      <c r="B9">
        <v>4</v>
      </c>
      <c r="C9" t="s">
        <v>214</v>
      </c>
      <c r="D9" t="s">
        <v>31</v>
      </c>
      <c r="E9" t="s">
        <v>32</v>
      </c>
      <c r="G9" t="s">
        <v>36</v>
      </c>
      <c r="H9" t="s">
        <v>37</v>
      </c>
      <c r="I9" t="s">
        <v>134</v>
      </c>
      <c r="J9" t="s">
        <v>5</v>
      </c>
      <c r="K9" t="s">
        <v>6</v>
      </c>
      <c r="L9" t="s">
        <v>7</v>
      </c>
      <c r="M9" t="s">
        <v>8</v>
      </c>
      <c r="N9">
        <v>1.3718E-5</v>
      </c>
      <c r="O9">
        <v>3.0973000000000002</v>
      </c>
      <c r="P9">
        <v>1008</v>
      </c>
      <c r="Q9">
        <v>46</v>
      </c>
      <c r="R9">
        <v>118</v>
      </c>
      <c r="S9">
        <v>2.5</v>
      </c>
      <c r="T9">
        <v>37</v>
      </c>
      <c r="U9" t="s">
        <v>33</v>
      </c>
      <c r="V9" t="s">
        <v>34</v>
      </c>
      <c r="W9" s="8" t="s">
        <v>35</v>
      </c>
    </row>
    <row r="10" spans="1:23" hidden="1" x14ac:dyDescent="0.25">
      <c r="A10" t="s">
        <v>226</v>
      </c>
      <c r="B10">
        <v>4</v>
      </c>
      <c r="C10" t="s">
        <v>214</v>
      </c>
      <c r="D10" t="s">
        <v>31</v>
      </c>
      <c r="E10" t="s">
        <v>32</v>
      </c>
      <c r="G10" t="s">
        <v>41</v>
      </c>
      <c r="H10" t="s">
        <v>42</v>
      </c>
      <c r="I10" t="s">
        <v>134</v>
      </c>
      <c r="J10" t="s">
        <v>5</v>
      </c>
      <c r="K10" t="s">
        <v>6</v>
      </c>
      <c r="L10" t="s">
        <v>7</v>
      </c>
      <c r="M10" t="s">
        <v>8</v>
      </c>
      <c r="N10">
        <v>3.5049999999999998E-5</v>
      </c>
      <c r="O10">
        <v>2.8570000000000002</v>
      </c>
      <c r="P10">
        <v>446</v>
      </c>
      <c r="Q10">
        <v>45</v>
      </c>
      <c r="R10">
        <v>120</v>
      </c>
      <c r="S10">
        <v>2</v>
      </c>
      <c r="T10">
        <v>32</v>
      </c>
      <c r="U10" t="s">
        <v>38</v>
      </c>
      <c r="V10" t="s">
        <v>39</v>
      </c>
      <c r="W10" s="8" t="s">
        <v>40</v>
      </c>
    </row>
    <row r="11" spans="1:23" hidden="1" x14ac:dyDescent="0.25">
      <c r="A11" t="s">
        <v>43</v>
      </c>
      <c r="B11">
        <v>4</v>
      </c>
      <c r="C11" t="s">
        <v>214</v>
      </c>
      <c r="D11" t="s">
        <v>31</v>
      </c>
      <c r="E11" t="s">
        <v>32</v>
      </c>
      <c r="G11" t="s">
        <v>47</v>
      </c>
      <c r="H11" t="s">
        <v>48</v>
      </c>
      <c r="I11" t="s">
        <v>134</v>
      </c>
      <c r="J11" t="s">
        <v>5</v>
      </c>
      <c r="K11" t="s">
        <v>6</v>
      </c>
      <c r="L11" t="s">
        <v>7</v>
      </c>
      <c r="M11" t="s">
        <v>8</v>
      </c>
      <c r="N11">
        <v>5.6907000000000003E-5</v>
      </c>
      <c r="O11">
        <v>2.7513999999999998</v>
      </c>
      <c r="P11">
        <v>2499</v>
      </c>
      <c r="Q11">
        <v>46.2</v>
      </c>
      <c r="R11">
        <v>112</v>
      </c>
      <c r="S11">
        <v>2</v>
      </c>
      <c r="T11">
        <v>24</v>
      </c>
      <c r="U11" t="s">
        <v>44</v>
      </c>
      <c r="V11" t="s">
        <v>45</v>
      </c>
      <c r="W11" s="8" t="s">
        <v>46</v>
      </c>
    </row>
    <row r="12" spans="1:23" hidden="1" x14ac:dyDescent="0.25">
      <c r="A12" t="s">
        <v>49</v>
      </c>
      <c r="B12">
        <v>4</v>
      </c>
      <c r="C12" t="s">
        <v>214</v>
      </c>
      <c r="D12" t="s">
        <v>31</v>
      </c>
      <c r="E12" t="s">
        <v>32</v>
      </c>
      <c r="G12">
        <v>2011</v>
      </c>
      <c r="H12" t="s">
        <v>52</v>
      </c>
      <c r="I12" t="s">
        <v>134</v>
      </c>
      <c r="J12" t="s">
        <v>5</v>
      </c>
      <c r="K12" t="s">
        <v>6</v>
      </c>
      <c r="L12" t="s">
        <v>7</v>
      </c>
      <c r="M12" t="s">
        <v>8</v>
      </c>
      <c r="N12">
        <v>8.0000000000000007E-5</v>
      </c>
      <c r="O12">
        <v>2.7271000000000001</v>
      </c>
      <c r="P12">
        <v>497</v>
      </c>
      <c r="Q12">
        <v>83</v>
      </c>
      <c r="R12">
        <v>106</v>
      </c>
      <c r="S12">
        <v>15</v>
      </c>
      <c r="T12">
        <v>26</v>
      </c>
      <c r="U12" t="s">
        <v>50</v>
      </c>
      <c r="V12" t="s">
        <v>51</v>
      </c>
      <c r="W12" s="8" t="s">
        <v>46</v>
      </c>
    </row>
    <row r="13" spans="1:23" hidden="1" x14ac:dyDescent="0.25">
      <c r="A13" t="s">
        <v>53</v>
      </c>
      <c r="B13">
        <v>4</v>
      </c>
      <c r="C13" t="s">
        <v>214</v>
      </c>
      <c r="D13" t="s">
        <v>31</v>
      </c>
      <c r="E13" t="s">
        <v>32</v>
      </c>
      <c r="G13" t="s">
        <v>56</v>
      </c>
      <c r="H13" t="s">
        <v>57</v>
      </c>
      <c r="I13" t="s">
        <v>134</v>
      </c>
      <c r="J13" t="s">
        <v>5</v>
      </c>
      <c r="K13" t="s">
        <v>6</v>
      </c>
      <c r="L13" t="s">
        <v>7</v>
      </c>
      <c r="M13" t="s">
        <v>8</v>
      </c>
      <c r="N13">
        <v>3.2536999999999999E-6</v>
      </c>
      <c r="O13">
        <v>3.4239999999999999</v>
      </c>
      <c r="P13">
        <v>1516</v>
      </c>
      <c r="Q13">
        <v>67</v>
      </c>
      <c r="R13">
        <v>118</v>
      </c>
      <c r="S13">
        <v>5.4</v>
      </c>
      <c r="T13">
        <v>33.1</v>
      </c>
      <c r="U13" t="s">
        <v>54</v>
      </c>
      <c r="V13" t="s">
        <v>55</v>
      </c>
    </row>
    <row r="14" spans="1:23" hidden="1" x14ac:dyDescent="0.25">
      <c r="A14" t="s">
        <v>53</v>
      </c>
      <c r="B14">
        <v>4</v>
      </c>
      <c r="C14" t="s">
        <v>214</v>
      </c>
      <c r="D14" t="s">
        <v>31</v>
      </c>
      <c r="E14" t="s">
        <v>32</v>
      </c>
      <c r="G14" t="s">
        <v>56</v>
      </c>
      <c r="H14" t="s">
        <v>57</v>
      </c>
      <c r="I14" t="s">
        <v>134</v>
      </c>
      <c r="J14" t="s">
        <v>5</v>
      </c>
      <c r="K14" t="s">
        <v>58</v>
      </c>
      <c r="L14" t="s">
        <v>9</v>
      </c>
      <c r="M14" t="s">
        <v>59</v>
      </c>
      <c r="N14">
        <v>0.7016</v>
      </c>
      <c r="O14">
        <v>0.61739999999999995</v>
      </c>
      <c r="P14">
        <v>1060</v>
      </c>
      <c r="Q14">
        <v>67</v>
      </c>
      <c r="R14">
        <v>118</v>
      </c>
      <c r="S14">
        <v>5.4</v>
      </c>
      <c r="T14">
        <v>33.1</v>
      </c>
      <c r="U14" t="s">
        <v>54</v>
      </c>
      <c r="V14" t="s">
        <v>55</v>
      </c>
    </row>
    <row r="15" spans="1:23" hidden="1" x14ac:dyDescent="0.25">
      <c r="A15" t="s">
        <v>53</v>
      </c>
      <c r="B15">
        <v>4</v>
      </c>
      <c r="C15" t="s">
        <v>214</v>
      </c>
      <c r="D15" t="s">
        <v>31</v>
      </c>
      <c r="E15" t="s">
        <v>32</v>
      </c>
      <c r="G15" t="s">
        <v>56</v>
      </c>
      <c r="H15" t="s">
        <v>57</v>
      </c>
      <c r="I15" t="s">
        <v>134</v>
      </c>
      <c r="J15" t="s">
        <v>5</v>
      </c>
      <c r="K15" t="s">
        <v>60</v>
      </c>
      <c r="L15" t="s">
        <v>9</v>
      </c>
      <c r="M15" t="s">
        <v>61</v>
      </c>
      <c r="N15">
        <v>0.26779999999999998</v>
      </c>
      <c r="O15">
        <v>5.4938000000000002</v>
      </c>
      <c r="P15">
        <v>925</v>
      </c>
      <c r="Q15">
        <v>83</v>
      </c>
      <c r="R15">
        <v>116</v>
      </c>
      <c r="S15">
        <v>9.8000000000000007</v>
      </c>
      <c r="T15">
        <v>31.3</v>
      </c>
      <c r="U15" t="s">
        <v>54</v>
      </c>
      <c r="V15" t="s">
        <v>55</v>
      </c>
    </row>
    <row r="16" spans="1:23" hidden="1" x14ac:dyDescent="0.25">
      <c r="A16" t="s">
        <v>226</v>
      </c>
      <c r="B16">
        <v>5</v>
      </c>
      <c r="C16" t="s">
        <v>214</v>
      </c>
      <c r="D16" t="s">
        <v>62</v>
      </c>
      <c r="E16" t="s">
        <v>63</v>
      </c>
      <c r="I16" t="s">
        <v>134</v>
      </c>
      <c r="J16" t="s">
        <v>5</v>
      </c>
      <c r="K16" t="s">
        <v>64</v>
      </c>
      <c r="L16" t="s">
        <v>7</v>
      </c>
      <c r="M16" t="s">
        <v>65</v>
      </c>
      <c r="N16">
        <v>7.0700000000000001E-6</v>
      </c>
      <c r="O16">
        <v>3.161</v>
      </c>
      <c r="P16">
        <v>4008</v>
      </c>
      <c r="U16" t="s">
        <v>66</v>
      </c>
      <c r="V16" t="s">
        <v>67</v>
      </c>
      <c r="W16" s="8" t="s">
        <v>68</v>
      </c>
    </row>
    <row r="17" spans="1:23" x14ac:dyDescent="0.25">
      <c r="A17" t="s">
        <v>226</v>
      </c>
      <c r="B17">
        <v>19</v>
      </c>
      <c r="C17" t="s">
        <v>215</v>
      </c>
      <c r="D17" t="s">
        <v>69</v>
      </c>
      <c r="E17" t="s">
        <v>70</v>
      </c>
      <c r="I17" t="s">
        <v>134</v>
      </c>
      <c r="J17" t="s">
        <v>71</v>
      </c>
      <c r="K17" t="s">
        <v>231</v>
      </c>
      <c r="L17" t="s">
        <v>72</v>
      </c>
      <c r="M17" t="s">
        <v>258</v>
      </c>
      <c r="N17">
        <v>5.2020731163620155</v>
      </c>
      <c r="O17">
        <v>1.1145786892554614</v>
      </c>
      <c r="P17">
        <v>13</v>
      </c>
      <c r="Q17">
        <v>119</v>
      </c>
      <c r="R17">
        <v>314</v>
      </c>
      <c r="U17" t="s">
        <v>73</v>
      </c>
      <c r="V17" t="s">
        <v>232</v>
      </c>
      <c r="W17" s="8" t="s">
        <v>74</v>
      </c>
    </row>
    <row r="18" spans="1:23" x14ac:dyDescent="0.25">
      <c r="A18" t="s">
        <v>227</v>
      </c>
      <c r="B18">
        <v>19</v>
      </c>
      <c r="C18" t="s">
        <v>215</v>
      </c>
      <c r="D18" t="s">
        <v>69</v>
      </c>
      <c r="E18" t="s">
        <v>70</v>
      </c>
      <c r="I18" t="s">
        <v>134</v>
      </c>
      <c r="J18" t="s">
        <v>71</v>
      </c>
      <c r="K18" t="s">
        <v>6</v>
      </c>
      <c r="L18" t="s">
        <v>75</v>
      </c>
      <c r="M18" t="s">
        <v>120</v>
      </c>
      <c r="N18">
        <v>1.4421699999999999E-6</v>
      </c>
      <c r="O18">
        <v>2.9885100000000002</v>
      </c>
      <c r="P18">
        <v>24</v>
      </c>
      <c r="Q18">
        <v>95</v>
      </c>
      <c r="R18">
        <v>280</v>
      </c>
      <c r="U18" t="s">
        <v>76</v>
      </c>
      <c r="V18" t="s">
        <v>233</v>
      </c>
      <c r="W18" s="8" t="s">
        <v>234</v>
      </c>
    </row>
    <row r="19" spans="1:23" x14ac:dyDescent="0.25">
      <c r="A19" t="s">
        <v>226</v>
      </c>
      <c r="B19">
        <v>19</v>
      </c>
      <c r="C19" t="s">
        <v>215</v>
      </c>
      <c r="D19" t="s">
        <v>69</v>
      </c>
      <c r="E19" t="s">
        <v>70</v>
      </c>
      <c r="I19" t="s">
        <v>134</v>
      </c>
      <c r="J19" t="s">
        <v>58</v>
      </c>
      <c r="K19" t="s">
        <v>231</v>
      </c>
      <c r="L19" t="s">
        <v>72</v>
      </c>
      <c r="M19" t="s">
        <v>260</v>
      </c>
      <c r="N19">
        <v>1.2490000000000001</v>
      </c>
      <c r="O19">
        <v>11.298999999999999</v>
      </c>
      <c r="P19">
        <v>37</v>
      </c>
      <c r="Q19">
        <v>126</v>
      </c>
      <c r="R19">
        <v>266</v>
      </c>
      <c r="U19" t="s">
        <v>78</v>
      </c>
      <c r="V19" t="s">
        <v>79</v>
      </c>
    </row>
    <row r="20" spans="1:23" x14ac:dyDescent="0.25">
      <c r="A20" t="s">
        <v>226</v>
      </c>
      <c r="B20">
        <v>19</v>
      </c>
      <c r="C20" t="s">
        <v>215</v>
      </c>
      <c r="D20" t="s">
        <v>69</v>
      </c>
      <c r="E20" t="s">
        <v>70</v>
      </c>
      <c r="I20" t="s">
        <v>134</v>
      </c>
      <c r="J20" t="s">
        <v>71</v>
      </c>
      <c r="K20" t="s">
        <v>231</v>
      </c>
      <c r="L20" t="s">
        <v>72</v>
      </c>
      <c r="M20" t="s">
        <v>259</v>
      </c>
      <c r="N20">
        <v>1.06</v>
      </c>
      <c r="O20">
        <v>14.185</v>
      </c>
      <c r="P20">
        <v>37</v>
      </c>
      <c r="Q20">
        <v>126</v>
      </c>
      <c r="R20">
        <v>266</v>
      </c>
      <c r="U20" t="s">
        <v>78</v>
      </c>
      <c r="V20" t="s">
        <v>80</v>
      </c>
    </row>
    <row r="21" spans="1:23" x14ac:dyDescent="0.25">
      <c r="A21" t="s">
        <v>226</v>
      </c>
      <c r="B21">
        <v>19</v>
      </c>
      <c r="C21" t="s">
        <v>215</v>
      </c>
      <c r="D21" t="s">
        <v>69</v>
      </c>
      <c r="E21" t="s">
        <v>70</v>
      </c>
      <c r="I21" t="s">
        <v>134</v>
      </c>
      <c r="J21" t="s">
        <v>58</v>
      </c>
      <c r="K21" t="s">
        <v>71</v>
      </c>
      <c r="L21" t="s">
        <v>72</v>
      </c>
      <c r="M21" t="s">
        <v>247</v>
      </c>
      <c r="N21">
        <v>1.1950000000000001</v>
      </c>
      <c r="O21">
        <v>-4.367</v>
      </c>
      <c r="P21">
        <v>37</v>
      </c>
      <c r="Q21">
        <v>126</v>
      </c>
      <c r="R21">
        <v>266</v>
      </c>
      <c r="U21" t="s">
        <v>78</v>
      </c>
      <c r="V21" t="s">
        <v>80</v>
      </c>
    </row>
    <row r="22" spans="1:23" x14ac:dyDescent="0.25">
      <c r="A22" t="s">
        <v>226</v>
      </c>
      <c r="B22">
        <v>19</v>
      </c>
      <c r="C22" t="s">
        <v>215</v>
      </c>
      <c r="D22" t="s">
        <v>69</v>
      </c>
      <c r="E22" t="s">
        <v>70</v>
      </c>
      <c r="I22" t="s">
        <v>134</v>
      </c>
      <c r="J22" t="s">
        <v>58</v>
      </c>
      <c r="K22" t="s">
        <v>151</v>
      </c>
      <c r="L22" t="s">
        <v>75</v>
      </c>
      <c r="M22" t="s">
        <v>266</v>
      </c>
      <c r="N22" s="3">
        <v>9.0000000000000002E-6</v>
      </c>
      <c r="O22">
        <v>3.1175999999999999</v>
      </c>
      <c r="P22">
        <v>390</v>
      </c>
      <c r="Q22">
        <v>95</v>
      </c>
      <c r="R22">
        <v>250</v>
      </c>
      <c r="U22" t="s">
        <v>78</v>
      </c>
      <c r="V22" t="s">
        <v>80</v>
      </c>
      <c r="W22" s="8" t="s">
        <v>264</v>
      </c>
    </row>
    <row r="23" spans="1:23" hidden="1" x14ac:dyDescent="0.25">
      <c r="A23" t="s">
        <v>227</v>
      </c>
      <c r="B23">
        <v>19</v>
      </c>
      <c r="C23" t="s">
        <v>215</v>
      </c>
      <c r="D23" t="s">
        <v>69</v>
      </c>
      <c r="E23" t="s">
        <v>70</v>
      </c>
      <c r="I23" t="s">
        <v>82</v>
      </c>
      <c r="J23" t="s">
        <v>71</v>
      </c>
      <c r="K23" t="s">
        <v>5</v>
      </c>
      <c r="L23" t="s">
        <v>72</v>
      </c>
      <c r="M23" t="s">
        <v>246</v>
      </c>
      <c r="N23">
        <v>1.0881000000000001</v>
      </c>
      <c r="O23">
        <v>9.51</v>
      </c>
      <c r="P23">
        <v>586</v>
      </c>
      <c r="Q23" s="4">
        <f>(S23-O23)/N23</f>
        <v>126.35787151916185</v>
      </c>
      <c r="R23" s="4">
        <f>(T23-O23)/N23</f>
        <v>232.04668688539655</v>
      </c>
      <c r="S23">
        <v>147</v>
      </c>
      <c r="T23">
        <v>262</v>
      </c>
      <c r="U23" t="s">
        <v>83</v>
      </c>
      <c r="V23" t="s">
        <v>84</v>
      </c>
      <c r="W23" s="8" t="s">
        <v>85</v>
      </c>
    </row>
    <row r="24" spans="1:23" hidden="1" x14ac:dyDescent="0.25">
      <c r="A24" t="s">
        <v>227</v>
      </c>
      <c r="B24">
        <v>19</v>
      </c>
      <c r="C24" t="s">
        <v>215</v>
      </c>
      <c r="D24" t="s">
        <v>69</v>
      </c>
      <c r="E24" t="s">
        <v>70</v>
      </c>
      <c r="I24" t="s">
        <v>82</v>
      </c>
      <c r="J24" t="s">
        <v>231</v>
      </c>
      <c r="K24" t="s">
        <v>6</v>
      </c>
      <c r="L24" t="s">
        <v>75</v>
      </c>
      <c r="M24" t="s">
        <v>237</v>
      </c>
      <c r="N24" s="3">
        <v>2.0000000000000002E-5</v>
      </c>
      <c r="O24">
        <v>2.8954</v>
      </c>
      <c r="P24">
        <v>586</v>
      </c>
      <c r="Q24">
        <v>147</v>
      </c>
      <c r="R24">
        <v>262</v>
      </c>
      <c r="U24" t="s">
        <v>83</v>
      </c>
      <c r="V24" t="s">
        <v>84</v>
      </c>
    </row>
    <row r="25" spans="1:23" hidden="1" x14ac:dyDescent="0.25">
      <c r="A25" t="s">
        <v>227</v>
      </c>
      <c r="B25">
        <v>19</v>
      </c>
      <c r="C25" t="s">
        <v>215</v>
      </c>
      <c r="D25" t="s">
        <v>69</v>
      </c>
      <c r="E25" t="s">
        <v>70</v>
      </c>
      <c r="I25" t="s">
        <v>86</v>
      </c>
      <c r="J25" t="s">
        <v>71</v>
      </c>
      <c r="K25" t="s">
        <v>5</v>
      </c>
      <c r="L25" t="s">
        <v>72</v>
      </c>
      <c r="M25" t="s">
        <v>246</v>
      </c>
      <c r="N25">
        <v>1.1204000000000001</v>
      </c>
      <c r="O25">
        <v>4.6326999999999998</v>
      </c>
      <c r="P25">
        <v>3799</v>
      </c>
      <c r="S25">
        <v>151</v>
      </c>
      <c r="T25">
        <v>368</v>
      </c>
      <c r="U25" t="s">
        <v>83</v>
      </c>
      <c r="V25" t="s">
        <v>84</v>
      </c>
      <c r="W25" s="8" t="s">
        <v>85</v>
      </c>
    </row>
    <row r="26" spans="1:23" hidden="1" x14ac:dyDescent="0.25">
      <c r="A26" t="s">
        <v>227</v>
      </c>
      <c r="B26">
        <v>19</v>
      </c>
      <c r="C26" t="s">
        <v>215</v>
      </c>
      <c r="D26" t="s">
        <v>69</v>
      </c>
      <c r="E26" t="s">
        <v>70</v>
      </c>
      <c r="I26" t="s">
        <v>86</v>
      </c>
      <c r="J26" t="s">
        <v>231</v>
      </c>
      <c r="K26" t="s">
        <v>6</v>
      </c>
      <c r="L26" t="s">
        <v>75</v>
      </c>
      <c r="M26" t="s">
        <v>237</v>
      </c>
      <c r="N26" s="3">
        <v>3.0000000000000001E-6</v>
      </c>
      <c r="O26">
        <v>3.1928999999999998</v>
      </c>
      <c r="P26">
        <v>3799</v>
      </c>
      <c r="Q26">
        <v>151</v>
      </c>
      <c r="R26">
        <v>368</v>
      </c>
      <c r="U26" t="s">
        <v>83</v>
      </c>
      <c r="V26" t="s">
        <v>84</v>
      </c>
    </row>
    <row r="27" spans="1:23" x14ac:dyDescent="0.25">
      <c r="A27" t="s">
        <v>228</v>
      </c>
      <c r="B27">
        <v>19</v>
      </c>
      <c r="C27" t="s">
        <v>215</v>
      </c>
      <c r="D27" t="s">
        <v>69</v>
      </c>
      <c r="E27" t="s">
        <v>70</v>
      </c>
      <c r="F27" t="s">
        <v>261</v>
      </c>
      <c r="I27" t="s">
        <v>134</v>
      </c>
      <c r="J27" t="s">
        <v>231</v>
      </c>
      <c r="K27" t="s">
        <v>6</v>
      </c>
      <c r="L27" t="s">
        <v>75</v>
      </c>
      <c r="M27" t="s">
        <v>8</v>
      </c>
      <c r="N27" s="3">
        <v>6.6100000000000002E-6</v>
      </c>
      <c r="O27">
        <v>3.3361000000000001</v>
      </c>
      <c r="P27">
        <v>117</v>
      </c>
      <c r="U27" t="s">
        <v>88</v>
      </c>
      <c r="V27" t="s">
        <v>89</v>
      </c>
    </row>
    <row r="28" spans="1:23" x14ac:dyDescent="0.25">
      <c r="A28" t="s">
        <v>226</v>
      </c>
      <c r="B28">
        <v>21</v>
      </c>
      <c r="C28" t="s">
        <v>215</v>
      </c>
      <c r="D28" t="s">
        <v>90</v>
      </c>
      <c r="E28" t="s">
        <v>91</v>
      </c>
      <c r="I28" t="s">
        <v>134</v>
      </c>
      <c r="J28" t="s">
        <v>71</v>
      </c>
      <c r="K28" t="s">
        <v>6</v>
      </c>
      <c r="L28" t="s">
        <v>75</v>
      </c>
      <c r="M28" t="s">
        <v>120</v>
      </c>
      <c r="N28">
        <v>4.0000000000000003E-5</v>
      </c>
      <c r="O28">
        <v>2.52</v>
      </c>
      <c r="U28" t="s">
        <v>92</v>
      </c>
      <c r="V28" t="s">
        <v>93</v>
      </c>
    </row>
    <row r="29" spans="1:23" x14ac:dyDescent="0.25">
      <c r="A29" t="s">
        <v>226</v>
      </c>
      <c r="B29">
        <v>21</v>
      </c>
      <c r="C29" t="s">
        <v>215</v>
      </c>
      <c r="D29" t="s">
        <v>90</v>
      </c>
      <c r="E29" t="s">
        <v>91</v>
      </c>
      <c r="I29" t="s">
        <v>134</v>
      </c>
      <c r="J29" t="s">
        <v>231</v>
      </c>
      <c r="K29" t="s">
        <v>6</v>
      </c>
      <c r="L29" t="s">
        <v>75</v>
      </c>
      <c r="M29" t="s">
        <v>237</v>
      </c>
      <c r="N29" s="3">
        <v>5.0000000000000002E-5</v>
      </c>
      <c r="O29">
        <v>2.589</v>
      </c>
      <c r="P29">
        <v>101</v>
      </c>
      <c r="Q29">
        <v>125</v>
      </c>
      <c r="R29">
        <v>199</v>
      </c>
      <c r="S29">
        <v>11.4</v>
      </c>
      <c r="T29">
        <v>47</v>
      </c>
      <c r="U29" t="s">
        <v>94</v>
      </c>
      <c r="V29" t="s">
        <v>95</v>
      </c>
    </row>
    <row r="30" spans="1:23" x14ac:dyDescent="0.25">
      <c r="A30" t="s">
        <v>226</v>
      </c>
      <c r="B30">
        <v>21</v>
      </c>
      <c r="C30" t="s">
        <v>215</v>
      </c>
      <c r="D30" t="s">
        <v>90</v>
      </c>
      <c r="E30" t="s">
        <v>91</v>
      </c>
      <c r="I30" t="s">
        <v>134</v>
      </c>
      <c r="J30" t="s">
        <v>231</v>
      </c>
      <c r="K30" t="s">
        <v>96</v>
      </c>
      <c r="L30" t="s">
        <v>75</v>
      </c>
      <c r="M30" t="s">
        <v>238</v>
      </c>
      <c r="N30">
        <v>1.506</v>
      </c>
      <c r="O30">
        <v>0.96599999999999997</v>
      </c>
      <c r="P30">
        <v>61</v>
      </c>
      <c r="Q30">
        <v>147</v>
      </c>
      <c r="R30">
        <v>246</v>
      </c>
      <c r="S30">
        <v>125</v>
      </c>
      <c r="T30">
        <v>198</v>
      </c>
      <c r="U30" t="s">
        <v>94</v>
      </c>
      <c r="V30" t="s">
        <v>95</v>
      </c>
    </row>
    <row r="31" spans="1:23" x14ac:dyDescent="0.25">
      <c r="A31" t="s">
        <v>226</v>
      </c>
      <c r="B31">
        <v>21</v>
      </c>
      <c r="C31" t="s">
        <v>215</v>
      </c>
      <c r="D31" t="s">
        <v>90</v>
      </c>
      <c r="E31" t="s">
        <v>91</v>
      </c>
      <c r="I31" t="s">
        <v>134</v>
      </c>
      <c r="J31" t="s">
        <v>231</v>
      </c>
      <c r="K31" t="s">
        <v>97</v>
      </c>
      <c r="L31" t="s">
        <v>75</v>
      </c>
      <c r="M31" t="s">
        <v>239</v>
      </c>
      <c r="N31">
        <v>0.45700000000000002</v>
      </c>
      <c r="O31">
        <v>0.97399999999999998</v>
      </c>
      <c r="P31">
        <v>100</v>
      </c>
      <c r="Q31">
        <v>125</v>
      </c>
      <c r="R31">
        <v>199</v>
      </c>
      <c r="S31">
        <v>50</v>
      </c>
      <c r="T31">
        <v>80</v>
      </c>
      <c r="U31" t="s">
        <v>94</v>
      </c>
      <c r="V31" t="s">
        <v>95</v>
      </c>
    </row>
    <row r="32" spans="1:23" x14ac:dyDescent="0.25">
      <c r="A32" t="s">
        <v>226</v>
      </c>
      <c r="B32">
        <v>21</v>
      </c>
      <c r="C32" t="s">
        <v>215</v>
      </c>
      <c r="D32" t="s">
        <v>90</v>
      </c>
      <c r="E32" t="s">
        <v>91</v>
      </c>
      <c r="I32" t="s">
        <v>134</v>
      </c>
      <c r="J32" t="s">
        <v>231</v>
      </c>
      <c r="K32" t="s">
        <v>98</v>
      </c>
      <c r="L32" t="s">
        <v>75</v>
      </c>
      <c r="M32" t="s">
        <v>240</v>
      </c>
      <c r="N32">
        <v>0.40400000000000003</v>
      </c>
      <c r="O32">
        <v>0.89100000000000001</v>
      </c>
      <c r="P32">
        <v>81</v>
      </c>
      <c r="Q32">
        <v>125</v>
      </c>
      <c r="R32">
        <v>198</v>
      </c>
      <c r="S32">
        <v>30</v>
      </c>
      <c r="T32">
        <v>46</v>
      </c>
      <c r="U32" t="s">
        <v>94</v>
      </c>
      <c r="V32" t="s">
        <v>95</v>
      </c>
      <c r="W32" s="8" t="s">
        <v>99</v>
      </c>
    </row>
    <row r="33" spans="1:23" x14ac:dyDescent="0.25">
      <c r="A33" t="s">
        <v>226</v>
      </c>
      <c r="B33">
        <v>21</v>
      </c>
      <c r="C33" t="s">
        <v>215</v>
      </c>
      <c r="D33" t="s">
        <v>90</v>
      </c>
      <c r="E33" t="s">
        <v>91</v>
      </c>
      <c r="I33" t="s">
        <v>134</v>
      </c>
      <c r="J33" t="s">
        <v>231</v>
      </c>
      <c r="K33" t="s">
        <v>71</v>
      </c>
      <c r="L33" t="s">
        <v>75</v>
      </c>
      <c r="M33" t="s">
        <v>241</v>
      </c>
      <c r="N33">
        <v>0.75</v>
      </c>
      <c r="O33">
        <v>1.0269999999999999</v>
      </c>
      <c r="P33">
        <v>80</v>
      </c>
      <c r="Q33">
        <v>125</v>
      </c>
      <c r="R33">
        <v>198</v>
      </c>
      <c r="S33">
        <v>107</v>
      </c>
      <c r="T33">
        <v>171</v>
      </c>
      <c r="U33" t="s">
        <v>94</v>
      </c>
      <c r="V33" t="s">
        <v>95</v>
      </c>
      <c r="W33" s="8" t="s">
        <v>100</v>
      </c>
    </row>
    <row r="34" spans="1:23" x14ac:dyDescent="0.25">
      <c r="A34" t="s">
        <v>226</v>
      </c>
      <c r="B34">
        <v>21</v>
      </c>
      <c r="C34" t="s">
        <v>215</v>
      </c>
      <c r="D34" t="s">
        <v>90</v>
      </c>
      <c r="E34" t="s">
        <v>91</v>
      </c>
      <c r="I34" t="s">
        <v>134</v>
      </c>
      <c r="J34" t="s">
        <v>231</v>
      </c>
      <c r="K34" t="s">
        <v>101</v>
      </c>
      <c r="L34" t="s">
        <v>75</v>
      </c>
      <c r="M34" t="s">
        <v>242</v>
      </c>
      <c r="N34">
        <v>0.755</v>
      </c>
      <c r="O34">
        <v>1.014</v>
      </c>
      <c r="P34">
        <v>81</v>
      </c>
      <c r="Q34">
        <v>125</v>
      </c>
      <c r="R34">
        <v>198</v>
      </c>
      <c r="S34">
        <v>100</v>
      </c>
      <c r="T34">
        <v>161</v>
      </c>
      <c r="U34" t="s">
        <v>94</v>
      </c>
      <c r="V34" t="s">
        <v>95</v>
      </c>
      <c r="W34" s="8" t="s">
        <v>102</v>
      </c>
    </row>
    <row r="35" spans="1:23" x14ac:dyDescent="0.25">
      <c r="A35" t="s">
        <v>226</v>
      </c>
      <c r="B35">
        <v>21</v>
      </c>
      <c r="C35" t="s">
        <v>215</v>
      </c>
      <c r="D35" t="s">
        <v>90</v>
      </c>
      <c r="E35" t="s">
        <v>91</v>
      </c>
      <c r="I35" t="s">
        <v>134</v>
      </c>
      <c r="J35" t="s">
        <v>231</v>
      </c>
      <c r="K35" t="s">
        <v>58</v>
      </c>
      <c r="L35" t="s">
        <v>75</v>
      </c>
      <c r="M35" t="s">
        <v>243</v>
      </c>
      <c r="N35">
        <v>0.64400000000000002</v>
      </c>
      <c r="O35">
        <v>1.0329999999999999</v>
      </c>
      <c r="P35">
        <v>81</v>
      </c>
      <c r="Q35">
        <v>125</v>
      </c>
      <c r="R35">
        <v>198</v>
      </c>
      <c r="S35">
        <v>93</v>
      </c>
      <c r="T35">
        <v>151</v>
      </c>
      <c r="U35" t="s">
        <v>94</v>
      </c>
      <c r="V35" t="s">
        <v>95</v>
      </c>
      <c r="W35" s="8" t="s">
        <v>103</v>
      </c>
    </row>
    <row r="36" spans="1:23" x14ac:dyDescent="0.25">
      <c r="A36" t="s">
        <v>226</v>
      </c>
      <c r="B36">
        <v>21</v>
      </c>
      <c r="C36" t="s">
        <v>215</v>
      </c>
      <c r="D36" t="s">
        <v>90</v>
      </c>
      <c r="E36" t="s">
        <v>91</v>
      </c>
      <c r="I36" t="s">
        <v>134</v>
      </c>
      <c r="J36" t="s">
        <v>231</v>
      </c>
      <c r="K36" t="s">
        <v>104</v>
      </c>
      <c r="L36" t="s">
        <v>75</v>
      </c>
      <c r="M36" t="s">
        <v>244</v>
      </c>
      <c r="N36">
        <v>0.53800000000000003</v>
      </c>
      <c r="O36">
        <v>1.01</v>
      </c>
      <c r="P36">
        <v>62</v>
      </c>
      <c r="Q36">
        <v>125</v>
      </c>
      <c r="R36">
        <v>198</v>
      </c>
      <c r="S36">
        <v>69</v>
      </c>
      <c r="T36">
        <v>113</v>
      </c>
      <c r="U36" t="s">
        <v>94</v>
      </c>
      <c r="V36" t="s">
        <v>95</v>
      </c>
      <c r="W36" s="8" t="s">
        <v>105</v>
      </c>
    </row>
    <row r="37" spans="1:23" x14ac:dyDescent="0.25">
      <c r="A37" t="s">
        <v>226</v>
      </c>
      <c r="B37">
        <v>21</v>
      </c>
      <c r="C37" t="s">
        <v>215</v>
      </c>
      <c r="D37" t="s">
        <v>90</v>
      </c>
      <c r="E37" t="s">
        <v>91</v>
      </c>
      <c r="I37" t="s">
        <v>134</v>
      </c>
      <c r="J37" t="s">
        <v>231</v>
      </c>
      <c r="K37" t="s">
        <v>106</v>
      </c>
      <c r="L37" t="s">
        <v>75</v>
      </c>
      <c r="M37" t="s">
        <v>245</v>
      </c>
      <c r="N37">
        <v>0.245</v>
      </c>
      <c r="O37">
        <v>1.06</v>
      </c>
      <c r="P37">
        <v>81</v>
      </c>
      <c r="Q37">
        <v>125</v>
      </c>
      <c r="R37">
        <v>198</v>
      </c>
      <c r="S37">
        <v>41</v>
      </c>
      <c r="T37">
        <v>65</v>
      </c>
      <c r="U37" t="s">
        <v>94</v>
      </c>
      <c r="V37" t="s">
        <v>95</v>
      </c>
      <c r="W37" s="8" t="s">
        <v>107</v>
      </c>
    </row>
    <row r="38" spans="1:23" x14ac:dyDescent="0.25">
      <c r="A38" t="s">
        <v>226</v>
      </c>
      <c r="B38">
        <v>17</v>
      </c>
      <c r="C38" t="s">
        <v>215</v>
      </c>
      <c r="D38" t="s">
        <v>108</v>
      </c>
      <c r="E38" t="s">
        <v>109</v>
      </c>
      <c r="I38" t="s">
        <v>134</v>
      </c>
      <c r="J38" t="s">
        <v>71</v>
      </c>
      <c r="K38" t="s">
        <v>231</v>
      </c>
      <c r="L38" t="s">
        <v>72</v>
      </c>
      <c r="M38" t="s">
        <v>259</v>
      </c>
      <c r="N38">
        <v>1.06</v>
      </c>
      <c r="O38">
        <v>9.0269999999999992</v>
      </c>
      <c r="P38">
        <v>160</v>
      </c>
      <c r="Q38">
        <v>50</v>
      </c>
      <c r="R38">
        <v>254</v>
      </c>
      <c r="U38" t="s">
        <v>78</v>
      </c>
      <c r="V38" t="s">
        <v>80</v>
      </c>
    </row>
    <row r="39" spans="1:23" x14ac:dyDescent="0.25">
      <c r="A39" t="s">
        <v>226</v>
      </c>
      <c r="B39">
        <v>17</v>
      </c>
      <c r="C39" t="s">
        <v>215</v>
      </c>
      <c r="D39" t="s">
        <v>108</v>
      </c>
      <c r="E39" t="s">
        <v>109</v>
      </c>
      <c r="I39" t="s">
        <v>134</v>
      </c>
      <c r="J39" t="s">
        <v>58</v>
      </c>
      <c r="K39" t="s">
        <v>231</v>
      </c>
      <c r="L39" t="s">
        <v>72</v>
      </c>
      <c r="M39" t="s">
        <v>260</v>
      </c>
      <c r="N39">
        <v>1.2410000000000001</v>
      </c>
      <c r="O39">
        <v>12.44</v>
      </c>
      <c r="P39">
        <v>160</v>
      </c>
      <c r="Q39">
        <v>51</v>
      </c>
      <c r="R39">
        <v>254</v>
      </c>
      <c r="U39" t="s">
        <v>78</v>
      </c>
      <c r="V39" t="s">
        <v>80</v>
      </c>
    </row>
    <row r="40" spans="1:23" x14ac:dyDescent="0.25">
      <c r="A40" t="s">
        <v>226</v>
      </c>
      <c r="B40">
        <v>17</v>
      </c>
      <c r="C40" t="s">
        <v>215</v>
      </c>
      <c r="D40" t="s">
        <v>108</v>
      </c>
      <c r="E40" t="s">
        <v>109</v>
      </c>
      <c r="I40" t="s">
        <v>134</v>
      </c>
      <c r="J40" t="s">
        <v>58</v>
      </c>
      <c r="K40" t="s">
        <v>71</v>
      </c>
      <c r="L40" t="s">
        <v>72</v>
      </c>
      <c r="M40" t="s">
        <v>247</v>
      </c>
      <c r="N40">
        <v>1.1679999999999999</v>
      </c>
      <c r="O40">
        <v>3.532</v>
      </c>
      <c r="P40">
        <v>160</v>
      </c>
      <c r="Q40">
        <v>52</v>
      </c>
      <c r="R40">
        <v>254</v>
      </c>
      <c r="U40" t="s">
        <v>78</v>
      </c>
      <c r="V40" t="s">
        <v>80</v>
      </c>
    </row>
    <row r="41" spans="1:23" x14ac:dyDescent="0.25">
      <c r="A41" t="s">
        <v>226</v>
      </c>
      <c r="B41">
        <v>18</v>
      </c>
      <c r="C41" t="s">
        <v>215</v>
      </c>
      <c r="D41" t="s">
        <v>110</v>
      </c>
      <c r="E41" t="s">
        <v>111</v>
      </c>
      <c r="I41" t="s">
        <v>134</v>
      </c>
      <c r="J41" t="s">
        <v>71</v>
      </c>
      <c r="K41" t="s">
        <v>231</v>
      </c>
      <c r="L41" t="s">
        <v>72</v>
      </c>
      <c r="M41" t="s">
        <v>259</v>
      </c>
      <c r="N41">
        <v>0.98299999999999998</v>
      </c>
      <c r="O41">
        <v>28.63</v>
      </c>
      <c r="P41">
        <v>53</v>
      </c>
      <c r="Q41">
        <v>154</v>
      </c>
      <c r="R41">
        <v>264</v>
      </c>
      <c r="U41" t="s">
        <v>78</v>
      </c>
      <c r="V41" t="s">
        <v>80</v>
      </c>
    </row>
    <row r="42" spans="1:23" x14ac:dyDescent="0.25">
      <c r="A42" t="s">
        <v>226</v>
      </c>
      <c r="B42">
        <v>18</v>
      </c>
      <c r="C42" t="s">
        <v>215</v>
      </c>
      <c r="D42" t="s">
        <v>110</v>
      </c>
      <c r="E42" t="s">
        <v>111</v>
      </c>
      <c r="I42" t="s">
        <v>134</v>
      </c>
      <c r="J42" t="s">
        <v>58</v>
      </c>
      <c r="K42" t="s">
        <v>231</v>
      </c>
      <c r="L42" t="s">
        <v>72</v>
      </c>
      <c r="M42" t="s">
        <v>260</v>
      </c>
      <c r="N42">
        <v>1.115</v>
      </c>
      <c r="O42">
        <v>31.673999999999999</v>
      </c>
      <c r="P42">
        <v>53</v>
      </c>
      <c r="Q42">
        <v>154</v>
      </c>
      <c r="R42">
        <v>264</v>
      </c>
      <c r="U42" t="s">
        <v>78</v>
      </c>
      <c r="V42" t="s">
        <v>80</v>
      </c>
    </row>
    <row r="43" spans="1:23" x14ac:dyDescent="0.25">
      <c r="A43" t="s">
        <v>226</v>
      </c>
      <c r="B43">
        <v>18</v>
      </c>
      <c r="C43" t="s">
        <v>215</v>
      </c>
      <c r="D43" t="s">
        <v>110</v>
      </c>
      <c r="E43" t="s">
        <v>111</v>
      </c>
      <c r="I43" t="s">
        <v>134</v>
      </c>
      <c r="J43" t="s">
        <v>58</v>
      </c>
      <c r="K43" t="s">
        <v>71</v>
      </c>
      <c r="L43" t="s">
        <v>72</v>
      </c>
      <c r="M43" t="s">
        <v>247</v>
      </c>
      <c r="N43">
        <v>1.163</v>
      </c>
      <c r="O43">
        <v>-1.0189999999999999</v>
      </c>
      <c r="P43">
        <v>53</v>
      </c>
      <c r="Q43">
        <v>154</v>
      </c>
      <c r="R43">
        <v>264</v>
      </c>
      <c r="U43" t="s">
        <v>78</v>
      </c>
      <c r="V43" t="s">
        <v>80</v>
      </c>
    </row>
    <row r="44" spans="1:23" x14ac:dyDescent="0.25">
      <c r="A44" t="s">
        <v>229</v>
      </c>
      <c r="B44">
        <v>18</v>
      </c>
      <c r="C44" t="s">
        <v>215</v>
      </c>
      <c r="D44" t="s">
        <v>110</v>
      </c>
      <c r="E44" t="s">
        <v>111</v>
      </c>
      <c r="I44" t="s">
        <v>134</v>
      </c>
      <c r="J44" t="s">
        <v>231</v>
      </c>
      <c r="K44" t="s">
        <v>6</v>
      </c>
      <c r="L44" t="s">
        <v>75</v>
      </c>
      <c r="M44" t="s">
        <v>8</v>
      </c>
      <c r="N44" s="3">
        <v>1.1955E-6</v>
      </c>
      <c r="O44">
        <v>3.3662999999999998</v>
      </c>
      <c r="P44">
        <v>5245</v>
      </c>
      <c r="Q44">
        <v>23</v>
      </c>
      <c r="R44">
        <v>378.5</v>
      </c>
      <c r="S44">
        <v>0.06</v>
      </c>
      <c r="T44">
        <v>540.9</v>
      </c>
      <c r="U44" t="s">
        <v>112</v>
      </c>
      <c r="V44" t="s">
        <v>113</v>
      </c>
    </row>
    <row r="45" spans="1:23" x14ac:dyDescent="0.25">
      <c r="A45" t="s">
        <v>229</v>
      </c>
      <c r="B45">
        <v>18</v>
      </c>
      <c r="C45" t="s">
        <v>215</v>
      </c>
      <c r="D45" t="s">
        <v>110</v>
      </c>
      <c r="E45" t="s">
        <v>111</v>
      </c>
      <c r="I45" t="s">
        <v>134</v>
      </c>
      <c r="J45" t="s">
        <v>96</v>
      </c>
      <c r="K45" t="s">
        <v>231</v>
      </c>
      <c r="L45" t="s">
        <v>72</v>
      </c>
      <c r="M45" t="s">
        <v>267</v>
      </c>
      <c r="N45">
        <v>0.76300000000000001</v>
      </c>
      <c r="O45">
        <v>2</v>
      </c>
      <c r="P45">
        <v>258</v>
      </c>
      <c r="Q45">
        <v>30</v>
      </c>
      <c r="R45">
        <v>500</v>
      </c>
      <c r="U45" t="s">
        <v>112</v>
      </c>
      <c r="V45" t="s">
        <v>113</v>
      </c>
    </row>
    <row r="46" spans="1:23" x14ac:dyDescent="0.25">
      <c r="A46" t="s">
        <v>229</v>
      </c>
      <c r="B46">
        <v>18</v>
      </c>
      <c r="C46" t="s">
        <v>215</v>
      </c>
      <c r="D46" t="s">
        <v>110</v>
      </c>
      <c r="E46" t="s">
        <v>111</v>
      </c>
      <c r="I46" t="s">
        <v>134</v>
      </c>
      <c r="J46" t="s">
        <v>162</v>
      </c>
      <c r="K46" t="s">
        <v>231</v>
      </c>
      <c r="L46" t="s">
        <v>72</v>
      </c>
      <c r="M46" t="s">
        <v>260</v>
      </c>
      <c r="N46">
        <v>1.2609999999999999</v>
      </c>
      <c r="O46">
        <v>7.6959999999999997</v>
      </c>
      <c r="P46">
        <v>732</v>
      </c>
      <c r="Q46">
        <v>65</v>
      </c>
      <c r="R46">
        <v>280</v>
      </c>
      <c r="U46" t="s">
        <v>112</v>
      </c>
      <c r="V46" t="s">
        <v>113</v>
      </c>
      <c r="W46" s="8" t="s">
        <v>114</v>
      </c>
    </row>
    <row r="47" spans="1:23" x14ac:dyDescent="0.25">
      <c r="A47" t="s">
        <v>229</v>
      </c>
      <c r="B47">
        <v>18</v>
      </c>
      <c r="C47" t="s">
        <v>215</v>
      </c>
      <c r="D47" t="s">
        <v>110</v>
      </c>
      <c r="E47" t="s">
        <v>111</v>
      </c>
      <c r="I47" t="s">
        <v>134</v>
      </c>
      <c r="J47" t="s">
        <v>71</v>
      </c>
      <c r="K47" t="s">
        <v>231</v>
      </c>
      <c r="L47" t="s">
        <v>72</v>
      </c>
      <c r="M47" t="s">
        <v>259</v>
      </c>
      <c r="N47">
        <v>1.0960000000000001</v>
      </c>
      <c r="O47">
        <v>8.8870000000000005</v>
      </c>
      <c r="P47">
        <v>250</v>
      </c>
      <c r="Q47">
        <v>120</v>
      </c>
      <c r="R47">
        <v>300</v>
      </c>
      <c r="U47" t="s">
        <v>112</v>
      </c>
      <c r="V47" t="s">
        <v>113</v>
      </c>
      <c r="W47" s="8" t="s">
        <v>269</v>
      </c>
    </row>
    <row r="48" spans="1:23" x14ac:dyDescent="0.25">
      <c r="A48" t="s">
        <v>228</v>
      </c>
      <c r="B48">
        <v>20</v>
      </c>
      <c r="C48" t="s">
        <v>215</v>
      </c>
      <c r="D48" t="s">
        <v>115</v>
      </c>
      <c r="E48" t="s">
        <v>116</v>
      </c>
      <c r="I48" t="s">
        <v>134</v>
      </c>
      <c r="J48" t="s">
        <v>71</v>
      </c>
      <c r="K48" t="s">
        <v>231</v>
      </c>
      <c r="L48" t="s">
        <v>72</v>
      </c>
      <c r="M48" t="s">
        <v>259</v>
      </c>
      <c r="N48" s="5">
        <v>1.1200000000000001</v>
      </c>
      <c r="O48">
        <v>7.33</v>
      </c>
      <c r="P48">
        <v>397</v>
      </c>
      <c r="Q48">
        <v>105</v>
      </c>
      <c r="R48">
        <v>222</v>
      </c>
      <c r="S48">
        <v>125</v>
      </c>
      <c r="T48">
        <v>250</v>
      </c>
      <c r="U48" s="6" t="s">
        <v>117</v>
      </c>
      <c r="V48" s="6" t="s">
        <v>118</v>
      </c>
      <c r="W48" s="8" t="s">
        <v>119</v>
      </c>
    </row>
    <row r="49" spans="1:23" x14ac:dyDescent="0.25">
      <c r="A49" t="s">
        <v>228</v>
      </c>
      <c r="B49">
        <v>20</v>
      </c>
      <c r="C49" t="s">
        <v>215</v>
      </c>
      <c r="D49" t="s">
        <v>115</v>
      </c>
      <c r="E49" t="s">
        <v>116</v>
      </c>
      <c r="I49" t="s">
        <v>134</v>
      </c>
      <c r="J49" t="s">
        <v>71</v>
      </c>
      <c r="K49" t="s">
        <v>6</v>
      </c>
      <c r="L49" t="s">
        <v>75</v>
      </c>
      <c r="M49" t="s">
        <v>120</v>
      </c>
      <c r="N49" s="3">
        <v>4.6800000000000001E-6</v>
      </c>
      <c r="O49">
        <v>3.16</v>
      </c>
      <c r="P49" s="4">
        <v>1037</v>
      </c>
      <c r="Q49" s="4">
        <v>90</v>
      </c>
      <c r="R49" s="4">
        <v>220</v>
      </c>
      <c r="S49" s="4">
        <v>5</v>
      </c>
      <c r="T49" s="4">
        <v>130</v>
      </c>
      <c r="U49" s="6" t="s">
        <v>117</v>
      </c>
      <c r="V49" s="6" t="s">
        <v>118</v>
      </c>
      <c r="W49" s="8" t="s">
        <v>121</v>
      </c>
    </row>
    <row r="50" spans="1:23" x14ac:dyDescent="0.25">
      <c r="A50" t="s">
        <v>228</v>
      </c>
      <c r="B50">
        <v>20</v>
      </c>
      <c r="C50" t="s">
        <v>215</v>
      </c>
      <c r="D50" t="s">
        <v>115</v>
      </c>
      <c r="E50" t="s">
        <v>116</v>
      </c>
      <c r="I50" t="s">
        <v>134</v>
      </c>
      <c r="J50" t="s">
        <v>231</v>
      </c>
      <c r="K50" t="s">
        <v>6</v>
      </c>
      <c r="L50" t="s">
        <v>75</v>
      </c>
      <c r="M50" t="s">
        <v>237</v>
      </c>
      <c r="N50" s="3">
        <v>3.2000000000000001E-7</v>
      </c>
      <c r="O50">
        <v>3.56</v>
      </c>
      <c r="P50">
        <v>170</v>
      </c>
      <c r="Q50">
        <v>85</v>
      </c>
      <c r="R50">
        <v>235</v>
      </c>
      <c r="S50">
        <v>3</v>
      </c>
      <c r="T50">
        <v>80</v>
      </c>
      <c r="U50" t="s">
        <v>122</v>
      </c>
      <c r="V50" t="s">
        <v>123</v>
      </c>
      <c r="W50" s="8" t="s">
        <v>124</v>
      </c>
    </row>
    <row r="51" spans="1:23" x14ac:dyDescent="0.25">
      <c r="A51" t="s">
        <v>228</v>
      </c>
      <c r="B51">
        <v>20</v>
      </c>
      <c r="C51" t="s">
        <v>215</v>
      </c>
      <c r="D51" t="s">
        <v>115</v>
      </c>
      <c r="E51" t="s">
        <v>116</v>
      </c>
      <c r="I51" t="s">
        <v>134</v>
      </c>
      <c r="J51" t="s">
        <v>71</v>
      </c>
      <c r="K51" t="s">
        <v>231</v>
      </c>
      <c r="L51" t="s">
        <v>72</v>
      </c>
      <c r="M51" t="s">
        <v>259</v>
      </c>
      <c r="N51">
        <v>0.83399999999999996</v>
      </c>
      <c r="O51">
        <v>36.61</v>
      </c>
      <c r="P51">
        <v>301</v>
      </c>
      <c r="U51" t="s">
        <v>125</v>
      </c>
      <c r="V51" t="s">
        <v>126</v>
      </c>
      <c r="W51" s="8" t="s">
        <v>270</v>
      </c>
    </row>
    <row r="52" spans="1:23" x14ac:dyDescent="0.25">
      <c r="A52" t="s">
        <v>228</v>
      </c>
      <c r="B52">
        <v>20</v>
      </c>
      <c r="C52" t="s">
        <v>215</v>
      </c>
      <c r="D52" t="s">
        <v>115</v>
      </c>
      <c r="E52" t="s">
        <v>116</v>
      </c>
      <c r="I52" t="s">
        <v>134</v>
      </c>
      <c r="J52" t="s">
        <v>231</v>
      </c>
      <c r="K52" t="s">
        <v>6</v>
      </c>
      <c r="L52" t="s">
        <v>75</v>
      </c>
      <c r="M52" t="s">
        <v>237</v>
      </c>
      <c r="N52" s="3">
        <v>1.0120000000000001E-7</v>
      </c>
      <c r="O52">
        <v>3.55</v>
      </c>
      <c r="P52">
        <v>214</v>
      </c>
      <c r="U52" t="s">
        <v>125</v>
      </c>
      <c r="V52" t="s">
        <v>126</v>
      </c>
    </row>
    <row r="53" spans="1:23" hidden="1" x14ac:dyDescent="0.25">
      <c r="A53" t="s">
        <v>226</v>
      </c>
      <c r="B53">
        <v>6</v>
      </c>
      <c r="C53" t="s">
        <v>216</v>
      </c>
      <c r="D53" t="s">
        <v>129</v>
      </c>
      <c r="E53" t="s">
        <v>130</v>
      </c>
      <c r="F53" t="s">
        <v>131</v>
      </c>
      <c r="G53" t="s">
        <v>132</v>
      </c>
      <c r="H53" t="s">
        <v>133</v>
      </c>
      <c r="I53" t="s">
        <v>134</v>
      </c>
      <c r="J53" t="s">
        <v>5</v>
      </c>
      <c r="K53" t="s">
        <v>6</v>
      </c>
      <c r="L53" t="s">
        <v>7</v>
      </c>
      <c r="M53" t="s">
        <v>87</v>
      </c>
      <c r="N53">
        <v>2.0000000000000002E-5</v>
      </c>
      <c r="O53">
        <v>2.83</v>
      </c>
      <c r="P53">
        <v>4313</v>
      </c>
      <c r="Q53">
        <v>40</v>
      </c>
      <c r="R53">
        <v>120</v>
      </c>
      <c r="U53" t="s">
        <v>135</v>
      </c>
      <c r="V53" t="s">
        <v>136</v>
      </c>
      <c r="W53" s="8" t="s">
        <v>137</v>
      </c>
    </row>
    <row r="54" spans="1:23" hidden="1" x14ac:dyDescent="0.25">
      <c r="A54" t="s">
        <v>226</v>
      </c>
      <c r="B54">
        <v>10</v>
      </c>
      <c r="C54" t="s">
        <v>216</v>
      </c>
      <c r="D54" t="s">
        <v>138</v>
      </c>
      <c r="E54" t="s">
        <v>139</v>
      </c>
      <c r="F54" t="s">
        <v>140</v>
      </c>
      <c r="G54" t="s">
        <v>141</v>
      </c>
      <c r="I54" t="s">
        <v>134</v>
      </c>
      <c r="J54" t="s">
        <v>5</v>
      </c>
      <c r="K54" t="s">
        <v>6</v>
      </c>
      <c r="L54" t="s">
        <v>7</v>
      </c>
      <c r="M54" t="s">
        <v>87</v>
      </c>
      <c r="N54">
        <v>2.5999999999999998E-5</v>
      </c>
      <c r="O54">
        <v>2.9</v>
      </c>
      <c r="P54">
        <f>6240+4170</f>
        <v>10410</v>
      </c>
      <c r="Q54">
        <v>20</v>
      </c>
      <c r="R54">
        <v>65</v>
      </c>
      <c r="U54" t="s">
        <v>142</v>
      </c>
      <c r="V54" t="s">
        <v>143</v>
      </c>
      <c r="W54" s="8" t="s">
        <v>144</v>
      </c>
    </row>
    <row r="55" spans="1:23" hidden="1" x14ac:dyDescent="0.25">
      <c r="A55" t="s">
        <v>226</v>
      </c>
      <c r="B55">
        <v>7</v>
      </c>
      <c r="C55" t="s">
        <v>216</v>
      </c>
      <c r="D55" t="s">
        <v>145</v>
      </c>
      <c r="E55" t="s">
        <v>146</v>
      </c>
      <c r="F55" t="s">
        <v>140</v>
      </c>
      <c r="G55" t="s">
        <v>141</v>
      </c>
      <c r="I55" t="s">
        <v>134</v>
      </c>
      <c r="J55" t="s">
        <v>5</v>
      </c>
      <c r="K55" t="s">
        <v>6</v>
      </c>
      <c r="L55" t="s">
        <v>7</v>
      </c>
      <c r="M55" t="s">
        <v>87</v>
      </c>
      <c r="N55">
        <v>1.7E-5</v>
      </c>
      <c r="O55">
        <v>3</v>
      </c>
      <c r="P55">
        <f>4759+1456</f>
        <v>6215</v>
      </c>
      <c r="Q55">
        <v>20</v>
      </c>
      <c r="R55">
        <v>45</v>
      </c>
      <c r="U55" t="s">
        <v>142</v>
      </c>
      <c r="V55" t="s">
        <v>143</v>
      </c>
      <c r="W55" s="8" t="s">
        <v>144</v>
      </c>
    </row>
    <row r="56" spans="1:23" hidden="1" x14ac:dyDescent="0.25">
      <c r="A56" t="s">
        <v>226</v>
      </c>
      <c r="B56">
        <v>8</v>
      </c>
      <c r="C56" t="s">
        <v>216</v>
      </c>
      <c r="D56" t="s">
        <v>147</v>
      </c>
      <c r="E56" t="s">
        <v>148</v>
      </c>
      <c r="F56" t="s">
        <v>140</v>
      </c>
      <c r="G56" t="s">
        <v>141</v>
      </c>
      <c r="I56" t="s">
        <v>134</v>
      </c>
      <c r="J56" t="s">
        <v>5</v>
      </c>
      <c r="K56" t="s">
        <v>6</v>
      </c>
      <c r="L56" t="s">
        <v>7</v>
      </c>
      <c r="M56" t="s">
        <v>87</v>
      </c>
      <c r="N56">
        <v>1.7E-5</v>
      </c>
      <c r="O56">
        <v>3</v>
      </c>
      <c r="P56">
        <f>976+471+668+98+1644+569</f>
        <v>4426</v>
      </c>
      <c r="Q56">
        <v>10</v>
      </c>
      <c r="R56">
        <v>40</v>
      </c>
      <c r="U56" t="s">
        <v>142</v>
      </c>
      <c r="V56" t="s">
        <v>143</v>
      </c>
      <c r="W56" s="8" t="s">
        <v>144</v>
      </c>
    </row>
    <row r="57" spans="1:23" hidden="1" x14ac:dyDescent="0.25">
      <c r="A57" t="s">
        <v>226</v>
      </c>
      <c r="B57">
        <v>12</v>
      </c>
      <c r="C57" t="s">
        <v>216</v>
      </c>
      <c r="D57" t="s">
        <v>149</v>
      </c>
      <c r="E57" t="s">
        <v>150</v>
      </c>
      <c r="F57" t="s">
        <v>140</v>
      </c>
      <c r="G57" t="s">
        <v>141</v>
      </c>
      <c r="I57" t="s">
        <v>134</v>
      </c>
      <c r="J57" t="s">
        <v>5</v>
      </c>
      <c r="K57" t="s">
        <v>6</v>
      </c>
      <c r="L57" t="s">
        <v>7</v>
      </c>
      <c r="M57" t="s">
        <v>87</v>
      </c>
      <c r="N57">
        <v>1.1759999999999999E-5</v>
      </c>
      <c r="O57">
        <v>2.9001999999999999</v>
      </c>
      <c r="P57">
        <f>2203+1384</f>
        <v>3587</v>
      </c>
      <c r="Q57">
        <v>20</v>
      </c>
      <c r="R57">
        <v>200</v>
      </c>
      <c r="U57" t="s">
        <v>142</v>
      </c>
      <c r="V57" t="s">
        <v>143</v>
      </c>
      <c r="W57" s="8" t="s">
        <v>144</v>
      </c>
    </row>
    <row r="58" spans="1:23" hidden="1" x14ac:dyDescent="0.25">
      <c r="A58" t="s">
        <v>226</v>
      </c>
      <c r="B58">
        <v>13</v>
      </c>
      <c r="C58" t="s">
        <v>216</v>
      </c>
      <c r="D58" t="s">
        <v>151</v>
      </c>
      <c r="E58" t="s">
        <v>152</v>
      </c>
      <c r="F58" t="s">
        <v>153</v>
      </c>
      <c r="G58" t="s">
        <v>154</v>
      </c>
      <c r="H58" t="s">
        <v>155</v>
      </c>
      <c r="I58" t="s">
        <v>134</v>
      </c>
      <c r="J58" t="s">
        <v>96</v>
      </c>
      <c r="K58" t="s">
        <v>6</v>
      </c>
      <c r="L58" t="s">
        <v>7</v>
      </c>
      <c r="M58" t="s">
        <v>156</v>
      </c>
      <c r="N58">
        <v>1.0000000000000001E-5</v>
      </c>
      <c r="O58">
        <v>2.89445</v>
      </c>
      <c r="P58">
        <v>480</v>
      </c>
      <c r="Q58">
        <v>15</v>
      </c>
      <c r="R58">
        <v>68</v>
      </c>
      <c r="U58" t="s">
        <v>157</v>
      </c>
      <c r="V58" t="s">
        <v>158</v>
      </c>
      <c r="W58" s="8" t="s">
        <v>159</v>
      </c>
    </row>
    <row r="59" spans="1:23" hidden="1" x14ac:dyDescent="0.25">
      <c r="A59" t="s">
        <v>229</v>
      </c>
      <c r="B59">
        <v>25</v>
      </c>
      <c r="C59" t="s">
        <v>230</v>
      </c>
      <c r="D59" t="s">
        <v>160</v>
      </c>
      <c r="E59" t="s">
        <v>161</v>
      </c>
      <c r="I59" t="s">
        <v>134</v>
      </c>
      <c r="J59" t="s">
        <v>5</v>
      </c>
      <c r="K59" t="s">
        <v>162</v>
      </c>
      <c r="L59" t="s">
        <v>72</v>
      </c>
      <c r="M59" t="s">
        <v>163</v>
      </c>
      <c r="N59" s="1">
        <v>-0.39560000000000001</v>
      </c>
      <c r="O59" s="1">
        <v>0.90749999999999997</v>
      </c>
      <c r="P59">
        <v>106</v>
      </c>
      <c r="U59" t="s">
        <v>164</v>
      </c>
      <c r="V59" t="s">
        <v>165</v>
      </c>
      <c r="W59" s="8" t="s">
        <v>74</v>
      </c>
    </row>
    <row r="60" spans="1:23" hidden="1" x14ac:dyDescent="0.25">
      <c r="A60" t="s">
        <v>226</v>
      </c>
      <c r="B60">
        <v>25</v>
      </c>
      <c r="C60" t="s">
        <v>230</v>
      </c>
      <c r="D60" t="s">
        <v>160</v>
      </c>
      <c r="E60" t="s">
        <v>161</v>
      </c>
      <c r="I60" t="s">
        <v>134</v>
      </c>
      <c r="J60" t="s">
        <v>5</v>
      </c>
      <c r="K60" t="s">
        <v>96</v>
      </c>
      <c r="L60" t="s">
        <v>72</v>
      </c>
      <c r="M60" t="s">
        <v>166</v>
      </c>
      <c r="N60" s="1">
        <v>-2.1338199513382001</v>
      </c>
      <c r="O60" s="1">
        <v>1.21654501216545</v>
      </c>
      <c r="P60">
        <v>10</v>
      </c>
      <c r="S60">
        <v>217</v>
      </c>
      <c r="T60">
        <v>265</v>
      </c>
      <c r="U60" t="s">
        <v>167</v>
      </c>
      <c r="V60" t="s">
        <v>168</v>
      </c>
      <c r="W60" s="8" t="s">
        <v>74</v>
      </c>
    </row>
    <row r="61" spans="1:23" hidden="1" x14ac:dyDescent="0.25">
      <c r="A61" t="s">
        <v>226</v>
      </c>
      <c r="B61">
        <v>25</v>
      </c>
      <c r="C61" t="s">
        <v>230</v>
      </c>
      <c r="D61" t="s">
        <v>160</v>
      </c>
      <c r="E61" t="s">
        <v>161</v>
      </c>
      <c r="I61" t="s">
        <v>134</v>
      </c>
      <c r="J61" t="s">
        <v>5</v>
      </c>
      <c r="K61" t="s">
        <v>6</v>
      </c>
      <c r="L61" t="s">
        <v>75</v>
      </c>
      <c r="M61" t="s">
        <v>169</v>
      </c>
      <c r="N61" s="1">
        <v>1.59E-5</v>
      </c>
      <c r="O61" s="1">
        <v>2.8455400000000002</v>
      </c>
      <c r="P61">
        <v>2842</v>
      </c>
      <c r="Q61">
        <v>57</v>
      </c>
      <c r="R61">
        <v>311</v>
      </c>
      <c r="S61">
        <v>1</v>
      </c>
      <c r="T61">
        <v>207</v>
      </c>
      <c r="U61" t="s">
        <v>170</v>
      </c>
      <c r="V61" t="s">
        <v>171</v>
      </c>
      <c r="W61" s="8" t="s">
        <v>172</v>
      </c>
    </row>
    <row r="62" spans="1:23" hidden="1" x14ac:dyDescent="0.25">
      <c r="A62" t="s">
        <v>226</v>
      </c>
      <c r="B62">
        <v>25</v>
      </c>
      <c r="C62" t="s">
        <v>230</v>
      </c>
      <c r="D62" t="s">
        <v>160</v>
      </c>
      <c r="E62" t="s">
        <v>161</v>
      </c>
      <c r="I62" t="s">
        <v>134</v>
      </c>
      <c r="J62" t="s">
        <v>5</v>
      </c>
      <c r="K62" t="s">
        <v>162</v>
      </c>
      <c r="L62" t="s">
        <v>72</v>
      </c>
      <c r="M62" t="s">
        <v>163</v>
      </c>
      <c r="N62" s="1">
        <v>-0.83180903603438816</v>
      </c>
      <c r="O62" s="1">
        <v>0.91457837936711184</v>
      </c>
      <c r="P62" s="2"/>
      <c r="Q62" s="2"/>
      <c r="R62" s="2"/>
      <c r="S62" s="2"/>
      <c r="T62" s="2"/>
      <c r="U62" t="s">
        <v>173</v>
      </c>
      <c r="V62" t="s">
        <v>174</v>
      </c>
    </row>
    <row r="63" spans="1:23" hidden="1" x14ac:dyDescent="0.25">
      <c r="A63" t="s">
        <v>226</v>
      </c>
      <c r="B63">
        <v>25</v>
      </c>
      <c r="C63" t="s">
        <v>230</v>
      </c>
      <c r="D63" t="s">
        <v>160</v>
      </c>
      <c r="E63" t="s">
        <v>161</v>
      </c>
      <c r="I63" t="s">
        <v>134</v>
      </c>
      <c r="J63" t="s">
        <v>5</v>
      </c>
      <c r="K63" t="s">
        <v>96</v>
      </c>
      <c r="L63" t="s">
        <v>72</v>
      </c>
      <c r="M63" t="s">
        <v>166</v>
      </c>
      <c r="N63" s="1">
        <v>-4.4176506390748633</v>
      </c>
      <c r="O63" s="1">
        <v>1.2172854534388313</v>
      </c>
      <c r="P63" s="2"/>
      <c r="Q63" s="2"/>
      <c r="R63" s="2"/>
      <c r="S63" s="2"/>
      <c r="T63" s="2"/>
      <c r="U63" t="s">
        <v>173</v>
      </c>
      <c r="V63" t="s">
        <v>174</v>
      </c>
    </row>
    <row r="64" spans="1:23" hidden="1" x14ac:dyDescent="0.25">
      <c r="A64" t="s">
        <v>226</v>
      </c>
      <c r="B64">
        <v>25</v>
      </c>
      <c r="C64" t="s">
        <v>230</v>
      </c>
      <c r="D64" t="s">
        <v>160</v>
      </c>
      <c r="E64" t="s">
        <v>161</v>
      </c>
      <c r="I64" t="s">
        <v>134</v>
      </c>
      <c r="J64" t="s">
        <v>5</v>
      </c>
      <c r="K64" t="s">
        <v>6</v>
      </c>
      <c r="L64" t="s">
        <v>75</v>
      </c>
      <c r="M64" t="s">
        <v>169</v>
      </c>
      <c r="N64" s="1">
        <v>2.7968000000000001E-6</v>
      </c>
      <c r="O64" s="1">
        <v>3.1697000000000002</v>
      </c>
      <c r="P64" s="7">
        <v>2279</v>
      </c>
      <c r="Q64" s="7">
        <v>81</v>
      </c>
      <c r="R64" s="7">
        <v>298</v>
      </c>
      <c r="S64" s="7">
        <v>3.5</v>
      </c>
      <c r="T64" s="7">
        <v>180</v>
      </c>
      <c r="U64" t="s">
        <v>175</v>
      </c>
      <c r="V64" t="s">
        <v>176</v>
      </c>
    </row>
    <row r="65" spans="1:23" hidden="1" x14ac:dyDescent="0.25">
      <c r="A65" t="s">
        <v>226</v>
      </c>
      <c r="B65">
        <v>25</v>
      </c>
      <c r="C65" t="s">
        <v>230</v>
      </c>
      <c r="D65" t="s">
        <v>160</v>
      </c>
      <c r="E65" t="s">
        <v>161</v>
      </c>
      <c r="I65" t="s">
        <v>134</v>
      </c>
      <c r="J65" t="s">
        <v>5</v>
      </c>
      <c r="K65" t="s">
        <v>64</v>
      </c>
      <c r="L65" t="s">
        <v>75</v>
      </c>
      <c r="M65" t="s">
        <v>177</v>
      </c>
      <c r="N65" s="1">
        <v>4.0189000000000001E-7</v>
      </c>
      <c r="O65" s="1">
        <v>3.3620000000000001</v>
      </c>
      <c r="P65" s="7">
        <v>2129</v>
      </c>
      <c r="Q65" s="7">
        <v>82</v>
      </c>
      <c r="R65" s="7">
        <v>352</v>
      </c>
      <c r="S65" s="7">
        <v>1</v>
      </c>
      <c r="T65" s="7">
        <v>125</v>
      </c>
      <c r="U65" t="s">
        <v>175</v>
      </c>
      <c r="V65" t="s">
        <v>176</v>
      </c>
    </row>
    <row r="66" spans="1:23" hidden="1" x14ac:dyDescent="0.25">
      <c r="A66" t="s">
        <v>226</v>
      </c>
      <c r="B66">
        <v>25</v>
      </c>
      <c r="C66" t="s">
        <v>230</v>
      </c>
      <c r="D66" t="s">
        <v>160</v>
      </c>
      <c r="E66" t="s">
        <v>161</v>
      </c>
      <c r="I66" t="s">
        <v>134</v>
      </c>
      <c r="J66" t="s">
        <v>5</v>
      </c>
      <c r="K66" t="s">
        <v>96</v>
      </c>
      <c r="L66" t="s">
        <v>72</v>
      </c>
      <c r="M66" t="s">
        <v>166</v>
      </c>
      <c r="N66" s="1">
        <v>5.3197056418642683</v>
      </c>
      <c r="O66" s="1">
        <v>1.1680878402055834</v>
      </c>
      <c r="P66" s="7">
        <v>6485</v>
      </c>
      <c r="Q66" s="7">
        <v>68</v>
      </c>
      <c r="R66" s="7">
        <v>352</v>
      </c>
      <c r="S66" s="7">
        <v>93</v>
      </c>
      <c r="T66" s="7">
        <v>394</v>
      </c>
      <c r="U66" t="s">
        <v>175</v>
      </c>
      <c r="V66" t="s">
        <v>176</v>
      </c>
    </row>
    <row r="67" spans="1:23" hidden="1" x14ac:dyDescent="0.25">
      <c r="A67" t="s">
        <v>226</v>
      </c>
      <c r="B67">
        <v>25</v>
      </c>
      <c r="C67" t="s">
        <v>230</v>
      </c>
      <c r="D67" t="s">
        <v>160</v>
      </c>
      <c r="E67" t="s">
        <v>161</v>
      </c>
      <c r="I67" t="s">
        <v>134</v>
      </c>
      <c r="J67" t="s">
        <v>5</v>
      </c>
      <c r="K67" t="s">
        <v>64</v>
      </c>
      <c r="L67" t="s">
        <v>75</v>
      </c>
      <c r="M67" t="s">
        <v>177</v>
      </c>
      <c r="N67" s="1">
        <v>1.6094499999999999E-6</v>
      </c>
      <c r="O67" s="1">
        <v>3.09904</v>
      </c>
      <c r="P67" s="7">
        <v>289</v>
      </c>
      <c r="Q67" s="7">
        <v>150</v>
      </c>
      <c r="R67" s="7">
        <v>260</v>
      </c>
      <c r="S67" s="7"/>
      <c r="T67" s="7"/>
      <c r="U67" t="s">
        <v>178</v>
      </c>
      <c r="V67" t="s">
        <v>179</v>
      </c>
    </row>
    <row r="68" spans="1:23" hidden="1" x14ac:dyDescent="0.25">
      <c r="A68" t="s">
        <v>226</v>
      </c>
      <c r="B68">
        <v>25</v>
      </c>
      <c r="C68" t="s">
        <v>230</v>
      </c>
      <c r="D68" t="s">
        <v>160</v>
      </c>
      <c r="E68" t="s">
        <v>161</v>
      </c>
      <c r="I68" t="s">
        <v>134</v>
      </c>
      <c r="J68" t="s">
        <v>5</v>
      </c>
      <c r="K68" t="s">
        <v>64</v>
      </c>
      <c r="L68" t="s">
        <v>75</v>
      </c>
      <c r="M68" t="s">
        <v>177</v>
      </c>
      <c r="N68" s="1">
        <v>1.9016299999999999E-6</v>
      </c>
      <c r="O68" s="1">
        <v>3.0761500000000002</v>
      </c>
      <c r="P68" s="7">
        <v>164</v>
      </c>
      <c r="Q68" s="7">
        <v>93</v>
      </c>
      <c r="R68" s="7">
        <v>253</v>
      </c>
      <c r="S68" s="7">
        <v>2.5</v>
      </c>
      <c r="T68" s="7">
        <v>47</v>
      </c>
      <c r="U68" t="s">
        <v>180</v>
      </c>
      <c r="V68" t="s">
        <v>181</v>
      </c>
    </row>
    <row r="69" spans="1:23" hidden="1" x14ac:dyDescent="0.25">
      <c r="A69" t="s">
        <v>226</v>
      </c>
      <c r="B69">
        <v>26</v>
      </c>
      <c r="C69" t="s">
        <v>230</v>
      </c>
      <c r="D69" t="s">
        <v>182</v>
      </c>
      <c r="E69" t="s">
        <v>183</v>
      </c>
      <c r="I69" t="s">
        <v>134</v>
      </c>
      <c r="J69" t="s">
        <v>5</v>
      </c>
      <c r="K69" t="s">
        <v>96</v>
      </c>
      <c r="L69" t="s">
        <v>72</v>
      </c>
      <c r="M69" t="s">
        <v>166</v>
      </c>
      <c r="N69" s="1">
        <v>2.9</v>
      </c>
      <c r="O69" s="1">
        <v>1.2</v>
      </c>
      <c r="P69">
        <v>265</v>
      </c>
      <c r="S69">
        <v>63</v>
      </c>
      <c r="T69">
        <v>208</v>
      </c>
      <c r="U69" t="s">
        <v>184</v>
      </c>
      <c r="V69" t="s">
        <v>185</v>
      </c>
      <c r="W69" s="9"/>
    </row>
    <row r="70" spans="1:23" hidden="1" x14ac:dyDescent="0.25">
      <c r="A70" t="s">
        <v>226</v>
      </c>
      <c r="B70">
        <v>26</v>
      </c>
      <c r="C70" t="s">
        <v>230</v>
      </c>
      <c r="D70" t="s">
        <v>182</v>
      </c>
      <c r="E70" t="s">
        <v>183</v>
      </c>
      <c r="I70" t="s">
        <v>134</v>
      </c>
      <c r="J70" t="s">
        <v>5</v>
      </c>
      <c r="K70" t="s">
        <v>162</v>
      </c>
      <c r="L70" t="s">
        <v>72</v>
      </c>
      <c r="M70" t="s">
        <v>163</v>
      </c>
      <c r="N70" s="1">
        <v>0.39999999999999997</v>
      </c>
      <c r="O70" s="1">
        <v>0.90909090909090906</v>
      </c>
      <c r="P70">
        <v>214</v>
      </c>
      <c r="U70" t="s">
        <v>184</v>
      </c>
      <c r="V70" t="s">
        <v>185</v>
      </c>
      <c r="W70" s="9" t="s">
        <v>186</v>
      </c>
    </row>
    <row r="71" spans="1:23" hidden="1" x14ac:dyDescent="0.25">
      <c r="A71" t="s">
        <v>226</v>
      </c>
      <c r="B71">
        <v>26</v>
      </c>
      <c r="C71" t="s">
        <v>230</v>
      </c>
      <c r="D71" t="s">
        <v>182</v>
      </c>
      <c r="E71" t="s">
        <v>183</v>
      </c>
      <c r="I71" t="s">
        <v>134</v>
      </c>
      <c r="J71" t="s">
        <v>5</v>
      </c>
      <c r="K71" t="s">
        <v>6</v>
      </c>
      <c r="L71" t="s">
        <v>75</v>
      </c>
      <c r="M71" t="s">
        <v>169</v>
      </c>
      <c r="N71" s="1">
        <v>1.5999999999999999E-5</v>
      </c>
      <c r="O71" s="1">
        <v>2.9149699999999998</v>
      </c>
      <c r="P71">
        <v>687</v>
      </c>
      <c r="Q71">
        <v>66</v>
      </c>
      <c r="R71">
        <v>281</v>
      </c>
      <c r="S71">
        <v>1</v>
      </c>
      <c r="T71">
        <v>230</v>
      </c>
      <c r="U71" t="s">
        <v>170</v>
      </c>
      <c r="V71" t="s">
        <v>171</v>
      </c>
      <c r="W71" s="8" t="s">
        <v>172</v>
      </c>
    </row>
    <row r="72" spans="1:23" hidden="1" x14ac:dyDescent="0.25">
      <c r="A72" t="s">
        <v>226</v>
      </c>
      <c r="B72">
        <v>26</v>
      </c>
      <c r="C72" t="s">
        <v>230</v>
      </c>
      <c r="D72" t="s">
        <v>182</v>
      </c>
      <c r="E72" t="s">
        <v>183</v>
      </c>
      <c r="I72" t="s">
        <v>134</v>
      </c>
      <c r="J72" t="s">
        <v>5</v>
      </c>
      <c r="K72" t="s">
        <v>96</v>
      </c>
      <c r="L72" t="s">
        <v>72</v>
      </c>
      <c r="M72" t="s">
        <v>166</v>
      </c>
      <c r="N72" s="1">
        <v>4.4049647116086641</v>
      </c>
      <c r="O72" s="1">
        <v>1.2168410805548795</v>
      </c>
      <c r="P72">
        <v>192</v>
      </c>
      <c r="S72">
        <v>84</v>
      </c>
      <c r="T72">
        <v>204</v>
      </c>
      <c r="U72" t="s">
        <v>167</v>
      </c>
      <c r="V72" t="s">
        <v>168</v>
      </c>
    </row>
    <row r="73" spans="1:23" hidden="1" x14ac:dyDescent="0.25">
      <c r="A73" t="s">
        <v>226</v>
      </c>
      <c r="B73">
        <v>26</v>
      </c>
      <c r="C73" t="s">
        <v>230</v>
      </c>
      <c r="D73" t="s">
        <v>182</v>
      </c>
      <c r="E73" t="s">
        <v>183</v>
      </c>
      <c r="I73" t="s">
        <v>134</v>
      </c>
      <c r="J73" t="s">
        <v>5</v>
      </c>
      <c r="K73" t="s">
        <v>6</v>
      </c>
      <c r="L73" t="s">
        <v>75</v>
      </c>
      <c r="M73" t="s">
        <v>169</v>
      </c>
      <c r="N73" s="1">
        <v>4.7254999999999999E-6</v>
      </c>
      <c r="O73" s="1">
        <v>3.1770999999999998</v>
      </c>
      <c r="P73">
        <v>369</v>
      </c>
      <c r="Q73">
        <v>66</v>
      </c>
      <c r="R73">
        <v>244</v>
      </c>
      <c r="S73">
        <v>2.5</v>
      </c>
      <c r="T73">
        <v>183</v>
      </c>
      <c r="U73" t="s">
        <v>175</v>
      </c>
      <c r="V73" t="s">
        <v>176</v>
      </c>
    </row>
    <row r="74" spans="1:23" hidden="1" x14ac:dyDescent="0.25">
      <c r="A74" t="s">
        <v>226</v>
      </c>
      <c r="B74">
        <v>26</v>
      </c>
      <c r="C74" t="s">
        <v>230</v>
      </c>
      <c r="D74" t="s">
        <v>182</v>
      </c>
      <c r="E74" t="s">
        <v>183</v>
      </c>
      <c r="I74" t="s">
        <v>134</v>
      </c>
      <c r="J74" t="s">
        <v>5</v>
      </c>
      <c r="K74" t="s">
        <v>96</v>
      </c>
      <c r="L74" t="s">
        <v>72</v>
      </c>
      <c r="M74" t="s">
        <v>166</v>
      </c>
      <c r="N74" s="1">
        <v>10.136699999999999</v>
      </c>
      <c r="O74" s="1">
        <v>1.1435999999999999</v>
      </c>
      <c r="P74">
        <v>520</v>
      </c>
      <c r="Q74">
        <v>66</v>
      </c>
      <c r="R74">
        <v>247</v>
      </c>
      <c r="S74">
        <v>77</v>
      </c>
      <c r="T74">
        <v>304</v>
      </c>
      <c r="U74" t="s">
        <v>175</v>
      </c>
      <c r="V74" t="s">
        <v>176</v>
      </c>
      <c r="W74" s="8" t="s">
        <v>187</v>
      </c>
    </row>
    <row r="75" spans="1:23" hidden="1" x14ac:dyDescent="0.25">
      <c r="A75" t="s">
        <v>226</v>
      </c>
      <c r="B75">
        <v>26</v>
      </c>
      <c r="C75" t="s">
        <v>230</v>
      </c>
      <c r="D75" t="s">
        <v>182</v>
      </c>
      <c r="E75" t="s">
        <v>183</v>
      </c>
      <c r="I75" t="s">
        <v>134</v>
      </c>
      <c r="J75" t="s">
        <v>5</v>
      </c>
      <c r="K75" t="s">
        <v>64</v>
      </c>
      <c r="L75" t="s">
        <v>75</v>
      </c>
      <c r="M75" t="s">
        <v>177</v>
      </c>
      <c r="N75" s="1">
        <v>1.2977E-5</v>
      </c>
      <c r="O75" s="1">
        <v>2.8323</v>
      </c>
      <c r="P75">
        <v>94</v>
      </c>
      <c r="Q75">
        <v>97</v>
      </c>
      <c r="R75">
        <v>269</v>
      </c>
      <c r="S75">
        <v>4.5</v>
      </c>
      <c r="T75">
        <v>104</v>
      </c>
      <c r="U75" t="s">
        <v>175</v>
      </c>
      <c r="V75" t="s">
        <v>176</v>
      </c>
      <c r="W75" s="8" t="s">
        <v>188</v>
      </c>
    </row>
    <row r="76" spans="1:23" hidden="1" x14ac:dyDescent="0.25">
      <c r="A76" t="s">
        <v>226</v>
      </c>
      <c r="B76">
        <v>26</v>
      </c>
      <c r="C76" t="s">
        <v>230</v>
      </c>
      <c r="D76" t="s">
        <v>182</v>
      </c>
      <c r="E76" t="s">
        <v>183</v>
      </c>
      <c r="I76" t="s">
        <v>134</v>
      </c>
      <c r="J76" t="s">
        <v>5</v>
      </c>
      <c r="K76" t="s">
        <v>64</v>
      </c>
      <c r="L76" t="s">
        <v>75</v>
      </c>
      <c r="M76" t="s">
        <v>177</v>
      </c>
      <c r="N76" s="1">
        <v>1.13294E-5</v>
      </c>
      <c r="O76" s="1">
        <v>2.9148399999999999</v>
      </c>
      <c r="P76">
        <v>411</v>
      </c>
      <c r="Q76">
        <v>50</v>
      </c>
      <c r="R76">
        <v>220</v>
      </c>
      <c r="U76" t="s">
        <v>178</v>
      </c>
      <c r="V76" t="s">
        <v>179</v>
      </c>
    </row>
    <row r="77" spans="1:23" hidden="1" x14ac:dyDescent="0.25">
      <c r="A77" t="s">
        <v>226</v>
      </c>
      <c r="B77">
        <v>27</v>
      </c>
      <c r="C77" t="s">
        <v>230</v>
      </c>
      <c r="D77" t="s">
        <v>189</v>
      </c>
      <c r="E77" t="s">
        <v>190</v>
      </c>
      <c r="I77" t="s">
        <v>134</v>
      </c>
      <c r="J77" t="s">
        <v>5</v>
      </c>
      <c r="K77" t="s">
        <v>6</v>
      </c>
      <c r="L77" t="s">
        <v>75</v>
      </c>
      <c r="M77" t="s">
        <v>169</v>
      </c>
      <c r="N77" s="1">
        <v>1.8428E-5</v>
      </c>
      <c r="O77" s="1">
        <v>2.9245000000000001</v>
      </c>
      <c r="P77">
        <v>93</v>
      </c>
      <c r="Q77">
        <v>57</v>
      </c>
      <c r="R77">
        <v>219</v>
      </c>
      <c r="S77">
        <v>2</v>
      </c>
      <c r="T77">
        <v>142</v>
      </c>
      <c r="U77" t="s">
        <v>175</v>
      </c>
      <c r="V77" t="s">
        <v>176</v>
      </c>
      <c r="W77" s="8" t="s">
        <v>74</v>
      </c>
    </row>
    <row r="78" spans="1:23" hidden="1" x14ac:dyDescent="0.25">
      <c r="A78" t="s">
        <v>226</v>
      </c>
      <c r="B78">
        <v>27</v>
      </c>
      <c r="C78" t="s">
        <v>230</v>
      </c>
      <c r="D78" t="s">
        <v>189</v>
      </c>
      <c r="E78" t="s">
        <v>190</v>
      </c>
      <c r="I78" t="s">
        <v>134</v>
      </c>
      <c r="J78" t="s">
        <v>5</v>
      </c>
      <c r="K78" t="s">
        <v>64</v>
      </c>
      <c r="L78" t="s">
        <v>75</v>
      </c>
      <c r="M78" t="s">
        <v>177</v>
      </c>
      <c r="N78" s="1">
        <v>8.0431000000000003E-5</v>
      </c>
      <c r="O78" s="1">
        <v>2.4478</v>
      </c>
      <c r="P78">
        <v>131</v>
      </c>
      <c r="Q78">
        <v>94</v>
      </c>
      <c r="R78">
        <v>243</v>
      </c>
      <c r="S78">
        <v>6</v>
      </c>
      <c r="T78">
        <v>49</v>
      </c>
      <c r="U78" t="s">
        <v>175</v>
      </c>
      <c r="V78" t="s">
        <v>176</v>
      </c>
    </row>
    <row r="79" spans="1:23" hidden="1" x14ac:dyDescent="0.25">
      <c r="A79" t="s">
        <v>226</v>
      </c>
      <c r="B79">
        <v>27</v>
      </c>
      <c r="C79" t="s">
        <v>230</v>
      </c>
      <c r="D79" t="s">
        <v>189</v>
      </c>
      <c r="E79" t="s">
        <v>190</v>
      </c>
      <c r="I79" t="s">
        <v>134</v>
      </c>
      <c r="J79" t="s">
        <v>5</v>
      </c>
      <c r="K79" t="s">
        <v>64</v>
      </c>
      <c r="L79" t="s">
        <v>75</v>
      </c>
      <c r="M79" t="s">
        <v>177</v>
      </c>
      <c r="N79" s="1">
        <v>2.9844600000000001E-6</v>
      </c>
      <c r="O79" s="1">
        <v>3.1541700000000001</v>
      </c>
      <c r="P79">
        <v>567</v>
      </c>
      <c r="Q79">
        <v>65</v>
      </c>
      <c r="R79">
        <v>215</v>
      </c>
      <c r="U79" t="s">
        <v>178</v>
      </c>
      <c r="V79" t="s">
        <v>179</v>
      </c>
    </row>
    <row r="80" spans="1:23" hidden="1" x14ac:dyDescent="0.25">
      <c r="A80" t="s">
        <v>226</v>
      </c>
      <c r="B80">
        <v>28</v>
      </c>
      <c r="C80" t="s">
        <v>230</v>
      </c>
      <c r="D80" t="s">
        <v>191</v>
      </c>
      <c r="E80" t="s">
        <v>192</v>
      </c>
      <c r="I80" t="s">
        <v>134</v>
      </c>
      <c r="J80" t="s">
        <v>5</v>
      </c>
      <c r="K80" t="s">
        <v>6</v>
      </c>
      <c r="L80" t="s">
        <v>75</v>
      </c>
      <c r="M80" t="s">
        <v>169</v>
      </c>
      <c r="N80" s="1">
        <v>3.4900000000000001E-5</v>
      </c>
      <c r="O80" s="1">
        <v>2.7654399999999999</v>
      </c>
      <c r="P80">
        <v>906</v>
      </c>
      <c r="Q80">
        <v>70</v>
      </c>
      <c r="R80">
        <v>342</v>
      </c>
      <c r="U80" t="s">
        <v>170</v>
      </c>
      <c r="V80" t="s">
        <v>171</v>
      </c>
    </row>
    <row r="81" spans="1:23" hidden="1" x14ac:dyDescent="0.25">
      <c r="A81" t="s">
        <v>218</v>
      </c>
      <c r="B81">
        <v>28</v>
      </c>
      <c r="C81" t="s">
        <v>230</v>
      </c>
      <c r="D81" t="s">
        <v>191</v>
      </c>
      <c r="E81" t="s">
        <v>192</v>
      </c>
      <c r="I81" t="s">
        <v>86</v>
      </c>
      <c r="J81" t="s">
        <v>5</v>
      </c>
      <c r="K81" t="s">
        <v>6</v>
      </c>
      <c r="L81" t="s">
        <v>75</v>
      </c>
      <c r="M81" t="s">
        <v>169</v>
      </c>
      <c r="N81" s="1">
        <v>1.0000000000000001E-5</v>
      </c>
      <c r="O81" s="1">
        <v>2.9596</v>
      </c>
      <c r="P81">
        <v>81</v>
      </c>
      <c r="Q81">
        <v>91</v>
      </c>
      <c r="R81">
        <v>311.3</v>
      </c>
      <c r="U81" t="s">
        <v>193</v>
      </c>
      <c r="V81" t="s">
        <v>194</v>
      </c>
      <c r="W81" s="8" t="s">
        <v>195</v>
      </c>
    </row>
    <row r="82" spans="1:23" hidden="1" x14ac:dyDescent="0.25">
      <c r="A82" t="s">
        <v>218</v>
      </c>
      <c r="B82">
        <v>28</v>
      </c>
      <c r="C82" t="s">
        <v>230</v>
      </c>
      <c r="D82" t="s">
        <v>191</v>
      </c>
      <c r="E82" t="s">
        <v>192</v>
      </c>
      <c r="I82" t="s">
        <v>82</v>
      </c>
      <c r="J82" t="s">
        <v>5</v>
      </c>
      <c r="K82" t="s">
        <v>6</v>
      </c>
      <c r="L82" t="s">
        <v>75</v>
      </c>
      <c r="M82" t="s">
        <v>169</v>
      </c>
      <c r="N82" s="1">
        <v>7.9999999999999996E-6</v>
      </c>
      <c r="O82" s="1">
        <v>3.0411999999999999</v>
      </c>
      <c r="P82">
        <v>195</v>
      </c>
      <c r="Q82">
        <v>102.4</v>
      </c>
      <c r="R82">
        <v>252.4</v>
      </c>
      <c r="U82" t="s">
        <v>193</v>
      </c>
      <c r="V82" t="s">
        <v>194</v>
      </c>
      <c r="W82" s="8" t="s">
        <v>195</v>
      </c>
    </row>
    <row r="83" spans="1:23" hidden="1" x14ac:dyDescent="0.25">
      <c r="A83" t="s">
        <v>226</v>
      </c>
      <c r="B83">
        <v>29</v>
      </c>
      <c r="C83" t="s">
        <v>230</v>
      </c>
      <c r="D83" t="s">
        <v>196</v>
      </c>
      <c r="E83" t="s">
        <v>197</v>
      </c>
      <c r="I83" t="s">
        <v>134</v>
      </c>
      <c r="J83" t="s">
        <v>5</v>
      </c>
      <c r="K83" t="s">
        <v>6</v>
      </c>
      <c r="L83" t="s">
        <v>75</v>
      </c>
      <c r="M83" t="s">
        <v>169</v>
      </c>
      <c r="N83" s="1">
        <v>1.413E-5</v>
      </c>
      <c r="O83" s="1">
        <v>2.9956499999999999</v>
      </c>
      <c r="P83">
        <v>185</v>
      </c>
      <c r="Q83">
        <v>110</v>
      </c>
      <c r="R83">
        <v>256</v>
      </c>
      <c r="U83" t="s">
        <v>198</v>
      </c>
      <c r="V83" t="s">
        <v>199</v>
      </c>
    </row>
    <row r="84" spans="1:23" hidden="1" x14ac:dyDescent="0.25">
      <c r="A84" t="s">
        <v>226</v>
      </c>
      <c r="B84">
        <v>30</v>
      </c>
      <c r="C84" t="s">
        <v>230</v>
      </c>
      <c r="D84" t="s">
        <v>200</v>
      </c>
      <c r="E84" t="s">
        <v>201</v>
      </c>
      <c r="I84" t="s">
        <v>134</v>
      </c>
      <c r="J84" t="s">
        <v>5</v>
      </c>
      <c r="K84" t="s">
        <v>6</v>
      </c>
      <c r="L84" t="s">
        <v>75</v>
      </c>
      <c r="M84" t="s">
        <v>169</v>
      </c>
      <c r="N84" s="1">
        <v>2.614E-5</v>
      </c>
      <c r="O84" s="1">
        <v>2.8237399999999999</v>
      </c>
      <c r="P84">
        <v>676</v>
      </c>
      <c r="Q84">
        <v>50</v>
      </c>
      <c r="R84">
        <v>351</v>
      </c>
      <c r="U84" t="s">
        <v>198</v>
      </c>
      <c r="V84" t="s">
        <v>199</v>
      </c>
    </row>
    <row r="85" spans="1:23" hidden="1" x14ac:dyDescent="0.25">
      <c r="A85" t="s">
        <v>226</v>
      </c>
      <c r="B85">
        <v>31</v>
      </c>
      <c r="C85" t="s">
        <v>230</v>
      </c>
      <c r="D85" t="s">
        <v>202</v>
      </c>
      <c r="E85" t="s">
        <v>203</v>
      </c>
      <c r="I85" t="s">
        <v>134</v>
      </c>
      <c r="J85" t="s">
        <v>5</v>
      </c>
      <c r="K85" t="s">
        <v>6</v>
      </c>
      <c r="L85" t="s">
        <v>75</v>
      </c>
      <c r="M85" t="s">
        <v>169</v>
      </c>
      <c r="N85" s="1">
        <v>2.9299999999999999E-6</v>
      </c>
      <c r="O85" s="1">
        <v>3.23475</v>
      </c>
      <c r="P85">
        <v>143</v>
      </c>
      <c r="Q85">
        <v>107</v>
      </c>
      <c r="R85">
        <v>335</v>
      </c>
      <c r="U85" t="s">
        <v>198</v>
      </c>
      <c r="V85" t="s">
        <v>199</v>
      </c>
    </row>
    <row r="86" spans="1:23" hidden="1" x14ac:dyDescent="0.25">
      <c r="A86" t="s">
        <v>226</v>
      </c>
      <c r="B86">
        <v>32</v>
      </c>
      <c r="C86" t="s">
        <v>230</v>
      </c>
      <c r="D86" t="s">
        <v>204</v>
      </c>
      <c r="E86" t="s">
        <v>205</v>
      </c>
      <c r="I86" t="s">
        <v>134</v>
      </c>
      <c r="J86" t="s">
        <v>5</v>
      </c>
      <c r="K86" t="s">
        <v>6</v>
      </c>
      <c r="L86" t="s">
        <v>75</v>
      </c>
      <c r="M86" t="s">
        <v>169</v>
      </c>
      <c r="N86" s="1">
        <v>2.101E-5</v>
      </c>
      <c r="O86" s="1">
        <v>2.88029</v>
      </c>
      <c r="P86">
        <v>197</v>
      </c>
      <c r="Q86">
        <v>94</v>
      </c>
      <c r="R86">
        <v>257</v>
      </c>
      <c r="U86" t="s">
        <v>198</v>
      </c>
      <c r="V86" t="s">
        <v>199</v>
      </c>
    </row>
    <row r="87" spans="1:23" hidden="1" x14ac:dyDescent="0.25">
      <c r="A87" t="s">
        <v>229</v>
      </c>
      <c r="B87">
        <v>33</v>
      </c>
      <c r="C87" t="s">
        <v>230</v>
      </c>
      <c r="D87" t="s">
        <v>206</v>
      </c>
      <c r="E87" t="s">
        <v>207</v>
      </c>
      <c r="I87" t="s">
        <v>134</v>
      </c>
      <c r="J87" t="s">
        <v>5</v>
      </c>
      <c r="K87" t="s">
        <v>6</v>
      </c>
      <c r="L87" t="s">
        <v>75</v>
      </c>
      <c r="M87" t="s">
        <v>169</v>
      </c>
      <c r="N87" s="1">
        <v>1.4823E-5</v>
      </c>
      <c r="O87" s="1">
        <v>2.9641000000000002</v>
      </c>
      <c r="U87" t="s">
        <v>164</v>
      </c>
      <c r="V87" t="s">
        <v>165</v>
      </c>
    </row>
    <row r="88" spans="1:23" hidden="1" x14ac:dyDescent="0.25">
      <c r="A88" t="s">
        <v>227</v>
      </c>
      <c r="B88">
        <v>33</v>
      </c>
      <c r="C88" t="s">
        <v>230</v>
      </c>
      <c r="D88" t="s">
        <v>206</v>
      </c>
      <c r="E88" t="s">
        <v>207</v>
      </c>
      <c r="I88" t="s">
        <v>134</v>
      </c>
      <c r="J88" t="s">
        <v>5</v>
      </c>
      <c r="K88" t="s">
        <v>162</v>
      </c>
      <c r="L88" t="s">
        <v>72</v>
      </c>
      <c r="M88" t="s">
        <v>163</v>
      </c>
      <c r="N88" s="1"/>
      <c r="O88" s="1"/>
      <c r="U88" t="s">
        <v>208</v>
      </c>
      <c r="V88" t="s">
        <v>209</v>
      </c>
    </row>
    <row r="89" spans="1:23" x14ac:dyDescent="0.25">
      <c r="A89" t="s">
        <v>226</v>
      </c>
      <c r="B89">
        <v>18</v>
      </c>
      <c r="C89" t="s">
        <v>215</v>
      </c>
      <c r="D89" t="s">
        <v>110</v>
      </c>
      <c r="E89" t="s">
        <v>111</v>
      </c>
      <c r="I89" t="s">
        <v>134</v>
      </c>
      <c r="J89" t="s">
        <v>71</v>
      </c>
      <c r="K89" t="s">
        <v>231</v>
      </c>
      <c r="L89" t="s">
        <v>72</v>
      </c>
      <c r="M89" t="s">
        <v>259</v>
      </c>
      <c r="N89">
        <v>1.1063170704723972</v>
      </c>
      <c r="O89">
        <v>8.0185861267839353</v>
      </c>
      <c r="P89">
        <v>26</v>
      </c>
      <c r="Q89">
        <v>143</v>
      </c>
      <c r="R89">
        <v>295</v>
      </c>
      <c r="U89" t="s">
        <v>73</v>
      </c>
      <c r="V89" t="s">
        <v>232</v>
      </c>
      <c r="W89" s="8" t="s">
        <v>74</v>
      </c>
    </row>
    <row r="90" spans="1:23" x14ac:dyDescent="0.25">
      <c r="A90" t="s">
        <v>227</v>
      </c>
      <c r="B90">
        <v>18</v>
      </c>
      <c r="C90" t="s">
        <v>215</v>
      </c>
      <c r="D90" t="s">
        <v>110</v>
      </c>
      <c r="E90" t="s">
        <v>111</v>
      </c>
      <c r="I90" t="s">
        <v>134</v>
      </c>
      <c r="J90" t="s">
        <v>71</v>
      </c>
      <c r="K90" t="s">
        <v>6</v>
      </c>
      <c r="L90" t="s">
        <v>75</v>
      </c>
      <c r="M90" t="s">
        <v>120</v>
      </c>
      <c r="N90">
        <v>2.72228E-6</v>
      </c>
      <c r="O90">
        <v>3.3096700000000001</v>
      </c>
      <c r="P90">
        <v>154</v>
      </c>
      <c r="Q90">
        <v>108</v>
      </c>
      <c r="R90">
        <v>272</v>
      </c>
      <c r="U90" t="s">
        <v>76</v>
      </c>
      <c r="V90" t="s">
        <v>233</v>
      </c>
      <c r="W90" s="8" t="s">
        <v>234</v>
      </c>
    </row>
    <row r="91" spans="1:23" x14ac:dyDescent="0.25">
      <c r="A91" t="s">
        <v>227</v>
      </c>
      <c r="B91">
        <v>20</v>
      </c>
      <c r="C91" t="s">
        <v>215</v>
      </c>
      <c r="D91" t="s">
        <v>115</v>
      </c>
      <c r="E91" t="s">
        <v>116</v>
      </c>
      <c r="I91" t="s">
        <v>134</v>
      </c>
      <c r="J91" t="s">
        <v>71</v>
      </c>
      <c r="K91" t="s">
        <v>6</v>
      </c>
      <c r="L91" t="s">
        <v>75</v>
      </c>
      <c r="M91" t="s">
        <v>120</v>
      </c>
      <c r="N91">
        <v>1.3326299999999999E-6</v>
      </c>
      <c r="O91">
        <v>3.41344</v>
      </c>
      <c r="P91">
        <v>17</v>
      </c>
      <c r="Q91">
        <v>102</v>
      </c>
      <c r="R91">
        <v>176</v>
      </c>
      <c r="U91" t="s">
        <v>76</v>
      </c>
      <c r="V91" t="s">
        <v>77</v>
      </c>
      <c r="W91" s="8" t="s">
        <v>235</v>
      </c>
    </row>
    <row r="92" spans="1:23" x14ac:dyDescent="0.25">
      <c r="A92" t="s">
        <v>227</v>
      </c>
      <c r="B92">
        <v>21</v>
      </c>
      <c r="C92" t="s">
        <v>215</v>
      </c>
      <c r="D92" t="s">
        <v>90</v>
      </c>
      <c r="E92" t="s">
        <v>91</v>
      </c>
      <c r="I92" t="s">
        <v>134</v>
      </c>
      <c r="J92" t="s">
        <v>71</v>
      </c>
      <c r="K92" t="s">
        <v>6</v>
      </c>
      <c r="L92" t="s">
        <v>75</v>
      </c>
      <c r="M92" t="s">
        <v>120</v>
      </c>
      <c r="N92">
        <v>6.9010299999999999E-5</v>
      </c>
      <c r="O92">
        <v>2.5242900000000001</v>
      </c>
      <c r="P92">
        <v>35</v>
      </c>
      <c r="Q92">
        <v>86</v>
      </c>
      <c r="R92">
        <v>188</v>
      </c>
      <c r="U92" t="s">
        <v>76</v>
      </c>
      <c r="V92" t="s">
        <v>233</v>
      </c>
      <c r="W92" s="8" t="s">
        <v>236</v>
      </c>
    </row>
    <row r="93" spans="1:23" x14ac:dyDescent="0.25">
      <c r="A93" t="s">
        <v>226</v>
      </c>
      <c r="B93">
        <v>18</v>
      </c>
      <c r="C93" t="s">
        <v>215</v>
      </c>
      <c r="D93" t="s">
        <v>110</v>
      </c>
      <c r="E93" t="s">
        <v>111</v>
      </c>
      <c r="I93" t="s">
        <v>134</v>
      </c>
      <c r="J93" t="s">
        <v>58</v>
      </c>
      <c r="K93" t="s">
        <v>151</v>
      </c>
      <c r="L93" t="s">
        <v>75</v>
      </c>
      <c r="M93" t="s">
        <v>265</v>
      </c>
      <c r="N93" s="3">
        <v>1.0000000000000001E-5</v>
      </c>
      <c r="O93">
        <v>3.0640000000000001</v>
      </c>
      <c r="P93">
        <v>324</v>
      </c>
      <c r="Q93">
        <v>110</v>
      </c>
      <c r="R93">
        <v>220</v>
      </c>
      <c r="U93" t="s">
        <v>78</v>
      </c>
      <c r="V93" t="s">
        <v>80</v>
      </c>
      <c r="W93" s="8" t="s">
        <v>264</v>
      </c>
    </row>
    <row r="94" spans="1:23" x14ac:dyDescent="0.25">
      <c r="A94" t="s">
        <v>226</v>
      </c>
      <c r="B94">
        <v>17</v>
      </c>
      <c r="C94" t="s">
        <v>215</v>
      </c>
      <c r="D94" t="s">
        <v>108</v>
      </c>
      <c r="E94" t="s">
        <v>109</v>
      </c>
      <c r="I94" t="s">
        <v>134</v>
      </c>
      <c r="J94" t="s">
        <v>58</v>
      </c>
      <c r="K94" t="s">
        <v>151</v>
      </c>
      <c r="L94" t="s">
        <v>75</v>
      </c>
      <c r="M94" t="s">
        <v>266</v>
      </c>
      <c r="N94" s="3">
        <v>3.0000000000000001E-5</v>
      </c>
      <c r="O94">
        <v>2.94</v>
      </c>
      <c r="P94">
        <v>1429</v>
      </c>
      <c r="Q94">
        <v>80</v>
      </c>
      <c r="R94">
        <v>180</v>
      </c>
      <c r="U94" t="s">
        <v>78</v>
      </c>
      <c r="V94" t="s">
        <v>80</v>
      </c>
      <c r="W94" s="8" t="s">
        <v>81</v>
      </c>
    </row>
    <row r="95" spans="1:23" x14ac:dyDescent="0.25">
      <c r="A95" t="s">
        <v>229</v>
      </c>
      <c r="B95">
        <v>17</v>
      </c>
      <c r="C95" t="s">
        <v>215</v>
      </c>
      <c r="D95" t="s">
        <v>108</v>
      </c>
      <c r="E95" t="s">
        <v>109</v>
      </c>
      <c r="I95" t="s">
        <v>134</v>
      </c>
      <c r="J95" t="s">
        <v>231</v>
      </c>
      <c r="K95" t="s">
        <v>151</v>
      </c>
      <c r="L95" t="s">
        <v>75</v>
      </c>
      <c r="M95" t="s">
        <v>263</v>
      </c>
      <c r="N95" s="3">
        <v>8.5702699999999994E-8</v>
      </c>
      <c r="O95">
        <v>3.9176299999999999</v>
      </c>
      <c r="P95">
        <v>16</v>
      </c>
      <c r="Q95">
        <v>80</v>
      </c>
      <c r="R95">
        <v>155</v>
      </c>
      <c r="U95" t="s">
        <v>178</v>
      </c>
      <c r="V95" t="s">
        <v>179</v>
      </c>
      <c r="W95" s="8" t="s">
        <v>262</v>
      </c>
    </row>
    <row r="96" spans="1:23" x14ac:dyDescent="0.25">
      <c r="A96" t="s">
        <v>229</v>
      </c>
      <c r="B96">
        <v>18</v>
      </c>
      <c r="C96" t="s">
        <v>215</v>
      </c>
      <c r="D96" t="s">
        <v>110</v>
      </c>
      <c r="E96" t="s">
        <v>111</v>
      </c>
      <c r="I96" t="s">
        <v>134</v>
      </c>
      <c r="J96" t="s">
        <v>106</v>
      </c>
      <c r="K96" t="s">
        <v>231</v>
      </c>
      <c r="L96" t="s">
        <v>72</v>
      </c>
      <c r="M96" s="4" t="s">
        <v>268</v>
      </c>
      <c r="N96">
        <v>2.1560000000000001</v>
      </c>
      <c r="O96">
        <v>61.655999999999999</v>
      </c>
      <c r="P96">
        <v>453</v>
      </c>
      <c r="Q96">
        <v>30</v>
      </c>
      <c r="R96">
        <v>120</v>
      </c>
      <c r="U96" t="s">
        <v>112</v>
      </c>
      <c r="V96" t="s">
        <v>113</v>
      </c>
    </row>
    <row r="97" spans="1:23" x14ac:dyDescent="0.25">
      <c r="A97" t="s">
        <v>226</v>
      </c>
      <c r="B97">
        <v>20</v>
      </c>
      <c r="C97" t="s">
        <v>215</v>
      </c>
      <c r="D97" t="s">
        <v>115</v>
      </c>
      <c r="E97" t="s">
        <v>116</v>
      </c>
      <c r="I97" t="s">
        <v>134</v>
      </c>
      <c r="J97" t="s">
        <v>71</v>
      </c>
      <c r="K97" t="s">
        <v>231</v>
      </c>
      <c r="L97" t="s">
        <v>72</v>
      </c>
      <c r="M97" t="s">
        <v>259</v>
      </c>
      <c r="N97" s="11">
        <v>1.3340000000000001</v>
      </c>
      <c r="O97">
        <v>0.83950000000000002</v>
      </c>
      <c r="P97">
        <v>443</v>
      </c>
      <c r="U97" t="s">
        <v>73</v>
      </c>
      <c r="V97" t="s">
        <v>278</v>
      </c>
    </row>
    <row r="98" spans="1:23" hidden="1" x14ac:dyDescent="0.25">
      <c r="A98" t="s">
        <v>226</v>
      </c>
    </row>
    <row r="99" spans="1:23" x14ac:dyDescent="0.25">
      <c r="A99" t="s">
        <v>226</v>
      </c>
      <c r="B99">
        <v>17</v>
      </c>
      <c r="C99" t="s">
        <v>215</v>
      </c>
      <c r="D99" t="s">
        <v>108</v>
      </c>
      <c r="E99" t="s">
        <v>109</v>
      </c>
      <c r="I99" t="s">
        <v>134</v>
      </c>
      <c r="J99" t="s">
        <v>71</v>
      </c>
      <c r="K99" t="s">
        <v>231</v>
      </c>
      <c r="L99" t="s">
        <v>72</v>
      </c>
      <c r="M99" t="s">
        <v>259</v>
      </c>
      <c r="N99" s="12">
        <v>1.0660000000000001</v>
      </c>
      <c r="O99">
        <v>10.449</v>
      </c>
      <c r="P99">
        <v>123</v>
      </c>
      <c r="Q99">
        <v>48</v>
      </c>
      <c r="R99">
        <v>255</v>
      </c>
      <c r="U99" t="s">
        <v>271</v>
      </c>
      <c r="V99" t="s">
        <v>275</v>
      </c>
    </row>
    <row r="100" spans="1:23" x14ac:dyDescent="0.25">
      <c r="A100" t="s">
        <v>226</v>
      </c>
      <c r="B100">
        <v>17</v>
      </c>
      <c r="C100" t="s">
        <v>215</v>
      </c>
      <c r="D100" t="s">
        <v>108</v>
      </c>
      <c r="E100" t="s">
        <v>109</v>
      </c>
      <c r="I100" t="s">
        <v>134</v>
      </c>
      <c r="J100" t="s">
        <v>272</v>
      </c>
      <c r="K100" t="s">
        <v>231</v>
      </c>
      <c r="L100" t="s">
        <v>72</v>
      </c>
      <c r="M100" t="s">
        <v>273</v>
      </c>
      <c r="N100">
        <v>1.5410999999999999</v>
      </c>
      <c r="O100">
        <v>19.605</v>
      </c>
      <c r="P100">
        <v>801</v>
      </c>
      <c r="Q100">
        <v>32</v>
      </c>
      <c r="R100">
        <v>180</v>
      </c>
      <c r="U100" t="s">
        <v>271</v>
      </c>
      <c r="V100" t="s">
        <v>277</v>
      </c>
    </row>
    <row r="101" spans="1:23" x14ac:dyDescent="0.25">
      <c r="A101" t="s">
        <v>226</v>
      </c>
      <c r="B101">
        <v>17</v>
      </c>
      <c r="C101" t="s">
        <v>215</v>
      </c>
      <c r="D101" t="s">
        <v>108</v>
      </c>
      <c r="E101" t="s">
        <v>109</v>
      </c>
      <c r="I101" t="s">
        <v>134</v>
      </c>
      <c r="J101" t="s">
        <v>106</v>
      </c>
      <c r="K101" t="s">
        <v>231</v>
      </c>
      <c r="L101" t="s">
        <v>72</v>
      </c>
      <c r="M101" t="s">
        <v>268</v>
      </c>
      <c r="N101">
        <v>2.5407000000000002</v>
      </c>
      <c r="O101">
        <v>25.698</v>
      </c>
      <c r="P101">
        <v>1806</v>
      </c>
      <c r="Q101">
        <v>18</v>
      </c>
      <c r="R101">
        <v>105</v>
      </c>
      <c r="U101" t="s">
        <v>271</v>
      </c>
      <c r="V101" t="s">
        <v>277</v>
      </c>
    </row>
    <row r="102" spans="1:23" x14ac:dyDescent="0.25">
      <c r="A102" t="s">
        <v>226</v>
      </c>
      <c r="B102">
        <v>17</v>
      </c>
      <c r="C102" t="s">
        <v>215</v>
      </c>
      <c r="D102" t="s">
        <v>108</v>
      </c>
      <c r="E102" t="s">
        <v>109</v>
      </c>
      <c r="I102" t="s">
        <v>134</v>
      </c>
      <c r="J102" t="s">
        <v>231</v>
      </c>
      <c r="K102" t="s">
        <v>151</v>
      </c>
      <c r="L102" t="s">
        <v>75</v>
      </c>
      <c r="M102" t="s">
        <v>263</v>
      </c>
      <c r="N102" s="3">
        <v>5.8641000000000003E-6</v>
      </c>
      <c r="O102">
        <v>3.0849000000000002</v>
      </c>
      <c r="P102">
        <v>334</v>
      </c>
      <c r="Q102">
        <v>90</v>
      </c>
      <c r="R102">
        <v>250</v>
      </c>
      <c r="U102" t="s">
        <v>271</v>
      </c>
      <c r="V102" t="s">
        <v>277</v>
      </c>
    </row>
    <row r="103" spans="1:23" x14ac:dyDescent="0.25">
      <c r="A103" t="s">
        <v>226</v>
      </c>
      <c r="B103">
        <v>17</v>
      </c>
      <c r="C103" t="s">
        <v>215</v>
      </c>
      <c r="D103" t="s">
        <v>108</v>
      </c>
      <c r="E103" t="s">
        <v>109</v>
      </c>
      <c r="I103" t="s">
        <v>134</v>
      </c>
      <c r="J103" t="s">
        <v>231</v>
      </c>
      <c r="K103" t="s">
        <v>6</v>
      </c>
      <c r="L103" t="s">
        <v>75</v>
      </c>
      <c r="M103" t="s">
        <v>237</v>
      </c>
      <c r="N103">
        <v>3.8149999999999999E-6</v>
      </c>
      <c r="O103">
        <v>3.1880000000000002</v>
      </c>
      <c r="P103">
        <v>3608</v>
      </c>
      <c r="Q103">
        <v>89</v>
      </c>
      <c r="R103">
        <v>266</v>
      </c>
      <c r="U103" t="s">
        <v>274</v>
      </c>
      <c r="V103" t="s">
        <v>276</v>
      </c>
    </row>
    <row r="104" spans="1:23" x14ac:dyDescent="0.25">
      <c r="A104" t="s">
        <v>227</v>
      </c>
      <c r="B104">
        <v>20</v>
      </c>
      <c r="C104" t="s">
        <v>215</v>
      </c>
      <c r="D104" t="s">
        <v>115</v>
      </c>
      <c r="E104" t="s">
        <v>116</v>
      </c>
      <c r="I104" t="s">
        <v>134</v>
      </c>
      <c r="J104" t="s">
        <v>71</v>
      </c>
      <c r="K104" t="s">
        <v>151</v>
      </c>
      <c r="L104" t="s">
        <v>75</v>
      </c>
      <c r="M104" t="s">
        <v>265</v>
      </c>
      <c r="N104">
        <v>3.0393356887635643E-6</v>
      </c>
      <c r="O104">
        <v>3.3287064313936963</v>
      </c>
      <c r="P104">
        <v>1427</v>
      </c>
      <c r="Q104">
        <v>100.3</v>
      </c>
      <c r="R104">
        <v>198</v>
      </c>
      <c r="S104">
        <v>8.1</v>
      </c>
      <c r="T104">
        <v>99.8</v>
      </c>
      <c r="U104" t="s">
        <v>76</v>
      </c>
      <c r="V104" t="s">
        <v>233</v>
      </c>
      <c r="W104" s="8" t="s">
        <v>279</v>
      </c>
    </row>
    <row r="105" spans="1:23" x14ac:dyDescent="0.25">
      <c r="A105" t="s">
        <v>228</v>
      </c>
      <c r="B105">
        <v>21</v>
      </c>
      <c r="C105" t="s">
        <v>215</v>
      </c>
      <c r="D105" t="s">
        <v>90</v>
      </c>
      <c r="E105" t="s">
        <v>91</v>
      </c>
      <c r="I105" t="s">
        <v>134</v>
      </c>
      <c r="J105" t="s">
        <v>71</v>
      </c>
      <c r="K105" t="s">
        <v>231</v>
      </c>
      <c r="L105" t="s">
        <v>72</v>
      </c>
      <c r="M105" t="s">
        <v>259</v>
      </c>
      <c r="N105">
        <v>0.88449999999999995</v>
      </c>
      <c r="O105">
        <v>-3.7025000000000001</v>
      </c>
      <c r="P105">
        <v>1166</v>
      </c>
      <c r="Q105">
        <v>78</v>
      </c>
      <c r="R105">
        <v>232</v>
      </c>
      <c r="U105" t="s">
        <v>280</v>
      </c>
      <c r="V105" t="s">
        <v>281</v>
      </c>
      <c r="W105" s="8" t="s">
        <v>282</v>
      </c>
    </row>
  </sheetData>
  <autoFilter ref="A1:W105" xr:uid="{CAB68E74-F3BC-40C3-8E32-99D7B08DE80F}">
    <filterColumn colId="2">
      <filters>
        <filter val="Billfish"/>
      </filters>
    </filterColumn>
    <filterColumn colId="8">
      <filters>
        <filter val="pooled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5F87-879F-4398-BA5F-6C46A2FDE0FE}">
  <dimension ref="A1:P13"/>
  <sheetViews>
    <sheetView zoomScale="85" zoomScaleNormal="85" workbookViewId="0">
      <selection activeCell="H18" sqref="H18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3.85546875" bestFit="1" customWidth="1"/>
    <col min="4" max="4" width="12.85546875" bestFit="1" customWidth="1"/>
    <col min="5" max="5" width="19.85546875" bestFit="1" customWidth="1"/>
    <col min="6" max="6" width="14" customWidth="1"/>
    <col min="7" max="7" width="9.140625" customWidth="1"/>
    <col min="8" max="8" width="11.140625" customWidth="1"/>
    <col min="9" max="9" width="15.85546875" customWidth="1"/>
    <col min="10" max="10" width="15" bestFit="1" customWidth="1"/>
    <col min="11" max="11" width="14.42578125" bestFit="1" customWidth="1"/>
    <col min="12" max="12" width="14.42578125" customWidth="1"/>
    <col min="13" max="13" width="19" customWidth="1"/>
    <col min="14" max="14" width="22" customWidth="1"/>
    <col min="15" max="15" width="19.42578125" customWidth="1"/>
    <col min="16" max="16" width="82.42578125" bestFit="1" customWidth="1"/>
  </cols>
  <sheetData>
    <row r="1" spans="1:16" x14ac:dyDescent="0.25">
      <c r="A1" s="2" t="s">
        <v>19</v>
      </c>
      <c r="B1" s="2" t="s">
        <v>248</v>
      </c>
      <c r="C1" s="2" t="s">
        <v>249</v>
      </c>
      <c r="D1" s="2" t="s">
        <v>20</v>
      </c>
      <c r="E1" s="2" t="s">
        <v>21</v>
      </c>
      <c r="F1" s="2" t="s">
        <v>127</v>
      </c>
      <c r="G1" s="2" t="s">
        <v>128</v>
      </c>
      <c r="H1" s="2" t="s">
        <v>0</v>
      </c>
      <c r="I1" s="2" t="s">
        <v>22</v>
      </c>
      <c r="J1" s="2" t="s">
        <v>23</v>
      </c>
      <c r="K1" s="2" t="s">
        <v>24</v>
      </c>
      <c r="L1" s="2" t="s">
        <v>254</v>
      </c>
      <c r="M1" s="2" t="s">
        <v>1</v>
      </c>
      <c r="N1" s="10" t="s">
        <v>225</v>
      </c>
      <c r="O1" s="10" t="s">
        <v>224</v>
      </c>
      <c r="P1" s="10" t="s">
        <v>4</v>
      </c>
    </row>
    <row r="2" spans="1:16" x14ac:dyDescent="0.25">
      <c r="A2" t="s">
        <v>226</v>
      </c>
      <c r="B2">
        <v>19</v>
      </c>
      <c r="C2" t="s">
        <v>215</v>
      </c>
      <c r="D2" t="s">
        <v>69</v>
      </c>
      <c r="E2" t="s">
        <v>70</v>
      </c>
      <c r="F2" t="s">
        <v>252</v>
      </c>
      <c r="I2" t="s">
        <v>134</v>
      </c>
      <c r="J2" t="s">
        <v>253</v>
      </c>
      <c r="K2" t="s">
        <v>6</v>
      </c>
      <c r="L2">
        <v>1.33</v>
      </c>
      <c r="N2" t="s">
        <v>250</v>
      </c>
      <c r="O2" t="s">
        <v>251</v>
      </c>
      <c r="P2" t="s">
        <v>257</v>
      </c>
    </row>
    <row r="3" spans="1:16" x14ac:dyDescent="0.25">
      <c r="A3" t="s">
        <v>226</v>
      </c>
      <c r="B3">
        <v>19</v>
      </c>
      <c r="C3" t="s">
        <v>215</v>
      </c>
      <c r="D3" t="s">
        <v>69</v>
      </c>
      <c r="E3" t="s">
        <v>70</v>
      </c>
      <c r="F3" t="s">
        <v>252</v>
      </c>
      <c r="I3" t="s">
        <v>134</v>
      </c>
      <c r="J3" t="s">
        <v>255</v>
      </c>
      <c r="K3" t="s">
        <v>6</v>
      </c>
      <c r="L3">
        <v>1.43</v>
      </c>
      <c r="N3" t="s">
        <v>250</v>
      </c>
      <c r="O3" t="s">
        <v>251</v>
      </c>
      <c r="P3" t="s">
        <v>257</v>
      </c>
    </row>
    <row r="4" spans="1:16" x14ac:dyDescent="0.25">
      <c r="A4" t="s">
        <v>226</v>
      </c>
      <c r="B4">
        <v>18</v>
      </c>
      <c r="C4" t="s">
        <v>215</v>
      </c>
      <c r="D4" t="s">
        <v>110</v>
      </c>
      <c r="E4" t="s">
        <v>111</v>
      </c>
      <c r="F4" t="s">
        <v>252</v>
      </c>
      <c r="I4" t="s">
        <v>134</v>
      </c>
      <c r="J4" t="s">
        <v>253</v>
      </c>
      <c r="K4" t="s">
        <v>6</v>
      </c>
      <c r="L4">
        <v>1.1299999999999999</v>
      </c>
      <c r="N4" t="s">
        <v>250</v>
      </c>
      <c r="O4" t="s">
        <v>251</v>
      </c>
      <c r="P4" t="s">
        <v>257</v>
      </c>
    </row>
    <row r="5" spans="1:16" x14ac:dyDescent="0.25">
      <c r="A5" t="s">
        <v>226</v>
      </c>
      <c r="B5">
        <v>18</v>
      </c>
      <c r="C5" t="s">
        <v>215</v>
      </c>
      <c r="D5" t="s">
        <v>110</v>
      </c>
      <c r="E5" t="s">
        <v>111</v>
      </c>
      <c r="F5" t="s">
        <v>252</v>
      </c>
      <c r="I5" t="s">
        <v>134</v>
      </c>
      <c r="J5" t="s">
        <v>255</v>
      </c>
      <c r="K5" t="s">
        <v>6</v>
      </c>
      <c r="L5">
        <v>1.43</v>
      </c>
      <c r="N5" t="s">
        <v>250</v>
      </c>
      <c r="O5" t="s">
        <v>251</v>
      </c>
      <c r="P5" t="s">
        <v>257</v>
      </c>
    </row>
    <row r="6" spans="1:16" x14ac:dyDescent="0.25">
      <c r="A6" t="s">
        <v>226</v>
      </c>
      <c r="B6">
        <v>20</v>
      </c>
      <c r="C6" t="s">
        <v>215</v>
      </c>
      <c r="D6" t="s">
        <v>115</v>
      </c>
      <c r="E6" t="s">
        <v>116</v>
      </c>
      <c r="F6" t="s">
        <v>252</v>
      </c>
      <c r="I6" t="s">
        <v>134</v>
      </c>
      <c r="J6" t="s">
        <v>253</v>
      </c>
      <c r="K6" t="s">
        <v>6</v>
      </c>
      <c r="L6">
        <v>1.1299999999999999</v>
      </c>
      <c r="N6" t="s">
        <v>250</v>
      </c>
      <c r="O6" t="s">
        <v>251</v>
      </c>
      <c r="P6" t="s">
        <v>257</v>
      </c>
    </row>
    <row r="7" spans="1:16" x14ac:dyDescent="0.25">
      <c r="A7" t="s">
        <v>226</v>
      </c>
      <c r="B7">
        <v>20</v>
      </c>
      <c r="C7" t="s">
        <v>215</v>
      </c>
      <c r="D7" t="s">
        <v>115</v>
      </c>
      <c r="E7" t="s">
        <v>116</v>
      </c>
      <c r="F7" t="s">
        <v>252</v>
      </c>
      <c r="I7" t="s">
        <v>134</v>
      </c>
      <c r="J7" t="s">
        <v>255</v>
      </c>
      <c r="K7" t="s">
        <v>6</v>
      </c>
      <c r="L7">
        <v>1.2</v>
      </c>
      <c r="N7" t="s">
        <v>250</v>
      </c>
      <c r="O7" t="s">
        <v>251</v>
      </c>
      <c r="P7" t="s">
        <v>257</v>
      </c>
    </row>
    <row r="8" spans="1:16" x14ac:dyDescent="0.25">
      <c r="A8" t="s">
        <v>226</v>
      </c>
      <c r="B8">
        <v>21</v>
      </c>
      <c r="C8" t="s">
        <v>215</v>
      </c>
      <c r="D8" t="s">
        <v>90</v>
      </c>
      <c r="E8" t="s">
        <v>91</v>
      </c>
      <c r="F8" t="s">
        <v>252</v>
      </c>
      <c r="I8" t="s">
        <v>134</v>
      </c>
      <c r="J8" t="s">
        <v>256</v>
      </c>
      <c r="K8" t="s">
        <v>6</v>
      </c>
      <c r="L8">
        <v>1.33</v>
      </c>
      <c r="N8" t="s">
        <v>250</v>
      </c>
      <c r="O8" t="s">
        <v>251</v>
      </c>
      <c r="P8" t="s">
        <v>257</v>
      </c>
    </row>
    <row r="9" spans="1:16" x14ac:dyDescent="0.25">
      <c r="A9" t="s">
        <v>226</v>
      </c>
      <c r="B9">
        <v>21</v>
      </c>
      <c r="C9" t="s">
        <v>215</v>
      </c>
      <c r="D9" t="s">
        <v>90</v>
      </c>
      <c r="E9" t="s">
        <v>91</v>
      </c>
      <c r="F9" t="s">
        <v>252</v>
      </c>
      <c r="I9" t="s">
        <v>134</v>
      </c>
      <c r="J9" t="s">
        <v>253</v>
      </c>
      <c r="K9" t="s">
        <v>6</v>
      </c>
      <c r="L9">
        <v>1.1299999999999999</v>
      </c>
      <c r="N9" t="s">
        <v>250</v>
      </c>
      <c r="O9" t="s">
        <v>251</v>
      </c>
      <c r="P9" t="s">
        <v>257</v>
      </c>
    </row>
    <row r="10" spans="1:16" x14ac:dyDescent="0.25">
      <c r="A10" t="s">
        <v>226</v>
      </c>
      <c r="B10">
        <v>21</v>
      </c>
      <c r="C10" t="s">
        <v>215</v>
      </c>
      <c r="D10" t="s">
        <v>90</v>
      </c>
      <c r="E10" t="s">
        <v>91</v>
      </c>
      <c r="F10" t="s">
        <v>252</v>
      </c>
      <c r="I10" t="s">
        <v>134</v>
      </c>
      <c r="J10" t="s">
        <v>255</v>
      </c>
      <c r="K10" t="s">
        <v>6</v>
      </c>
      <c r="L10">
        <v>1.43</v>
      </c>
      <c r="N10" t="s">
        <v>250</v>
      </c>
      <c r="O10" t="s">
        <v>251</v>
      </c>
      <c r="P10" t="s">
        <v>257</v>
      </c>
    </row>
    <row r="11" spans="1:16" x14ac:dyDescent="0.25">
      <c r="A11" t="s">
        <v>226</v>
      </c>
      <c r="B11">
        <v>17</v>
      </c>
      <c r="C11" t="s">
        <v>215</v>
      </c>
      <c r="D11" t="s">
        <v>108</v>
      </c>
      <c r="E11" t="s">
        <v>109</v>
      </c>
      <c r="F11" t="s">
        <v>252</v>
      </c>
      <c r="I11" t="s">
        <v>134</v>
      </c>
      <c r="J11" t="s">
        <v>256</v>
      </c>
      <c r="K11" t="s">
        <v>6</v>
      </c>
      <c r="L11">
        <v>1.33</v>
      </c>
      <c r="N11" t="s">
        <v>250</v>
      </c>
      <c r="O11" t="s">
        <v>251</v>
      </c>
      <c r="P11" t="s">
        <v>257</v>
      </c>
    </row>
    <row r="12" spans="1:16" x14ac:dyDescent="0.25">
      <c r="A12" t="s">
        <v>226</v>
      </c>
      <c r="B12">
        <v>17</v>
      </c>
      <c r="C12" t="s">
        <v>215</v>
      </c>
      <c r="D12" t="s">
        <v>108</v>
      </c>
      <c r="E12" t="s">
        <v>109</v>
      </c>
      <c r="F12" t="s">
        <v>252</v>
      </c>
      <c r="I12" t="s">
        <v>134</v>
      </c>
      <c r="J12" t="s">
        <v>253</v>
      </c>
      <c r="K12" t="s">
        <v>6</v>
      </c>
      <c r="L12">
        <v>1.18</v>
      </c>
      <c r="N12" t="s">
        <v>250</v>
      </c>
      <c r="O12" t="s">
        <v>251</v>
      </c>
      <c r="P12" t="s">
        <v>257</v>
      </c>
    </row>
    <row r="13" spans="1:16" x14ac:dyDescent="0.25">
      <c r="A13" t="s">
        <v>226</v>
      </c>
      <c r="B13">
        <v>17</v>
      </c>
      <c r="C13" t="s">
        <v>215</v>
      </c>
      <c r="D13" t="s">
        <v>108</v>
      </c>
      <c r="E13" t="s">
        <v>109</v>
      </c>
      <c r="F13" t="s">
        <v>252</v>
      </c>
      <c r="I13" t="s">
        <v>134</v>
      </c>
      <c r="J13" t="s">
        <v>255</v>
      </c>
      <c r="K13" t="s">
        <v>6</v>
      </c>
      <c r="L13">
        <v>1.43</v>
      </c>
      <c r="N13" t="s">
        <v>250</v>
      </c>
      <c r="O13" t="s">
        <v>251</v>
      </c>
      <c r="P1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Relationships</vt:lpstr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Chassot</dc:creator>
  <cp:lastModifiedBy>Emmanuel Chassot</cp:lastModifiedBy>
  <dcterms:created xsi:type="dcterms:W3CDTF">2022-05-20T04:50:50Z</dcterms:created>
  <dcterms:modified xsi:type="dcterms:W3CDTF">2023-09-03T15:41:43Z</dcterms:modified>
</cp:coreProperties>
</file>